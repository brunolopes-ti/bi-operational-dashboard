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unn\bi-operational-dashboard\excel\"/>
    </mc:Choice>
  </mc:AlternateContent>
  <xr:revisionPtr revIDLastSave="0" documentId="13_ncr:1_{6190D45F-AB66-4270-9DF2-0330F9BB67E9}" xr6:coauthVersionLast="47" xr6:coauthVersionMax="47" xr10:uidLastSave="{00000000-0000-0000-0000-000000000000}"/>
  <bookViews>
    <workbookView xWindow="-108" yWindow="-108" windowWidth="23256" windowHeight="12576" firstSheet="2" activeTab="6" xr2:uid="{18F3A0BE-A876-4107-A447-F248BF9BD797}"/>
  </bookViews>
  <sheets>
    <sheet name="Base_Demandas" sheetId="2" r:id="rId1"/>
    <sheet name="Base_Contratos" sheetId="3" r:id="rId2"/>
    <sheet name="Base_Fornecedores" sheetId="4" r:id="rId3"/>
    <sheet name="Base_Pagamentos" sheetId="5" r:id="rId4"/>
    <sheet name="Indicadores" sheetId="6" r:id="rId5"/>
    <sheet name="Tabelas_Dinamicas" sheetId="7" r:id="rId6"/>
    <sheet name="Dashboard_Excel" sheetId="8" r:id="rId7"/>
  </sheets>
  <definedNames>
    <definedName name="DadosExternos_1" localSheetId="1" hidden="1">Base_Contratos!$A$1:$J$21</definedName>
    <definedName name="DadosExternos_1" localSheetId="0" hidden="1">Base_Demandas!$A$1:$O$241</definedName>
    <definedName name="DadosExternos_1" localSheetId="2" hidden="1">Base_Fornecedores!$A$1:$F$11</definedName>
    <definedName name="DadosExternos_1" localSheetId="3" hidden="1">Base_Pagamentos!$A$1:$I$121</definedName>
  </definedNames>
  <calcPr calcId="191029"/>
  <pivotCaches>
    <pivotCache cacheId="11" r:id="rId8"/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8" l="1"/>
  <c r="E5" i="8"/>
  <c r="C5" i="8"/>
  <c r="A5" i="8"/>
  <c r="E3" i="8"/>
  <c r="G3" i="8"/>
  <c r="C3" i="8"/>
  <c r="A3" i="8"/>
  <c r="B13" i="6"/>
  <c r="B12" i="6"/>
  <c r="B11" i="6"/>
  <c r="B10" i="6"/>
  <c r="B9" i="6"/>
  <c r="B8" i="6"/>
  <c r="B7" i="6"/>
  <c r="B6" i="6"/>
  <c r="B5" i="6"/>
  <c r="B4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1BA26-1BA0-46B1-BF84-3D83452A5629}" keepAlive="1" name="Consulta - contratos" description="Conexão com a consulta 'contratos' na pasta de trabalho." type="5" refreshedVersion="8" background="1" saveData="1">
    <dbPr connection="Provider=Microsoft.Mashup.OleDb.1;Data Source=$Workbook$;Location=contratos;Extended Properties=&quot;&quot;" command="SELECT * FROM [contratos]"/>
  </connection>
  <connection id="2" xr16:uid="{CED59854-E99C-40C4-89BA-88187258BCC5}" keepAlive="1" name="Consulta - demandas" description="Conexão com a consulta 'demandas' na pasta de trabalho." type="5" refreshedVersion="8" background="1" saveData="1">
    <dbPr connection="Provider=Microsoft.Mashup.OleDb.1;Data Source=$Workbook$;Location=demandas;Extended Properties=&quot;&quot;" command="SELECT * FROM [demandas]"/>
  </connection>
  <connection id="3" xr16:uid="{065BD5B6-B655-4E22-A324-15083FBDFCE8}" keepAlive="1" name="Consulta - fornecedores" description="Conexão com a consulta 'fornecedores' na pasta de trabalho." type="5" refreshedVersion="8" background="1" saveData="1">
    <dbPr connection="Provider=Microsoft.Mashup.OleDb.1;Data Source=$Workbook$;Location=fornecedores;Extended Properties=&quot;&quot;" command="SELECT * FROM [fornecedores]"/>
  </connection>
  <connection id="4" xr16:uid="{0E6E2A32-286C-49AB-A3D0-EB715610EAF2}" keepAlive="1" name="Consulta - pagamentos" description="Conexão com a consulta 'pagamentos' na pasta de trabalho." type="5" refreshedVersion="8" background="1" saveData="1">
    <dbPr connection="Provider=Microsoft.Mashup.OleDb.1;Data Source=$Workbook$;Location=pagamentos;Extended Properties=&quot;&quot;" command="SELECT * FROM [pagamentos]"/>
  </connection>
</connections>
</file>

<file path=xl/sharedStrings.xml><?xml version="1.0" encoding="utf-8"?>
<sst xmlns="http://schemas.openxmlformats.org/spreadsheetml/2006/main" count="3167" uniqueCount="517">
  <si>
    <t>demanda_id</t>
  </si>
  <si>
    <t>contrato_id</t>
  </si>
  <si>
    <t>fornecedor_id</t>
  </si>
  <si>
    <t>fornecedor</t>
  </si>
  <si>
    <t>data_abertura</t>
  </si>
  <si>
    <t>data_limite</t>
  </si>
  <si>
    <t>data_conclusao</t>
  </si>
  <si>
    <t>categoria_demanda</t>
  </si>
  <si>
    <t>prioridade</t>
  </si>
  <si>
    <t>status_demanda</t>
  </si>
  <si>
    <t>sla_dias</t>
  </si>
  <si>
    <t>tempo_atendimento_dias</t>
  </si>
  <si>
    <t>sla_cumprido</t>
  </si>
  <si>
    <t>valor_estimado</t>
  </si>
  <si>
    <t>unidade</t>
  </si>
  <si>
    <t>D0001</t>
  </si>
  <si>
    <t>C003</t>
  </si>
  <si>
    <t>F004</t>
  </si>
  <si>
    <t>Delta Segurança</t>
  </si>
  <si>
    <t>Análise</t>
  </si>
  <si>
    <t>Média</t>
  </si>
  <si>
    <t>Atrasada</t>
  </si>
  <si>
    <t>Não</t>
  </si>
  <si>
    <t>Atendimento</t>
  </si>
  <si>
    <t>D0002</t>
  </si>
  <si>
    <t>C012</t>
  </si>
  <si>
    <t>F006</t>
  </si>
  <si>
    <t>Forte Logística</t>
  </si>
  <si>
    <t>Solicitação</t>
  </si>
  <si>
    <t>Baixa</t>
  </si>
  <si>
    <t>Concluída</t>
  </si>
  <si>
    <t>Sim</t>
  </si>
  <si>
    <t>Tecnologia</t>
  </si>
  <si>
    <t>D0003</t>
  </si>
  <si>
    <t>C015</t>
  </si>
  <si>
    <t>F007</t>
  </si>
  <si>
    <t>Global Sistemas</t>
  </si>
  <si>
    <t>Suporte</t>
  </si>
  <si>
    <t>Alta</t>
  </si>
  <si>
    <t>Administrativo</t>
  </si>
  <si>
    <t>D0004</t>
  </si>
  <si>
    <t>Crítica</t>
  </si>
  <si>
    <t>D0005</t>
  </si>
  <si>
    <t>C009</t>
  </si>
  <si>
    <t>Entrega</t>
  </si>
  <si>
    <t>D0006</t>
  </si>
  <si>
    <t>C007</t>
  </si>
  <si>
    <t>F008</t>
  </si>
  <si>
    <t>Higieniza Mais</t>
  </si>
  <si>
    <t>Correção</t>
  </si>
  <si>
    <t>Cancelada</t>
  </si>
  <si>
    <t>Não se aplica</t>
  </si>
  <si>
    <t>D0007</t>
  </si>
  <si>
    <t>Em andamento</t>
  </si>
  <si>
    <t/>
  </si>
  <si>
    <t>D0008</t>
  </si>
  <si>
    <t>D0009</t>
  </si>
  <si>
    <t>C014</t>
  </si>
  <si>
    <t>F001</t>
  </si>
  <si>
    <t>Alpha Serviços</t>
  </si>
  <si>
    <t>Manutenção</t>
  </si>
  <si>
    <t>D0010</t>
  </si>
  <si>
    <t>D0011</t>
  </si>
  <si>
    <t>D0012</t>
  </si>
  <si>
    <t>C010</t>
  </si>
  <si>
    <t>F005</t>
  </si>
  <si>
    <t>Eco Office</t>
  </si>
  <si>
    <t>D0013</t>
  </si>
  <si>
    <t>C001</t>
  </si>
  <si>
    <t>D0014</t>
  </si>
  <si>
    <t>D0015</t>
  </si>
  <si>
    <t>C002</t>
  </si>
  <si>
    <t>F010</t>
  </si>
  <si>
    <t>Prime Soluções</t>
  </si>
  <si>
    <t>D0016</t>
  </si>
  <si>
    <t>D0017</t>
  </si>
  <si>
    <t>C013</t>
  </si>
  <si>
    <t>F003</t>
  </si>
  <si>
    <t>Central Tech</t>
  </si>
  <si>
    <t>Contratos</t>
  </si>
  <si>
    <t>D0018</t>
  </si>
  <si>
    <t>D0019</t>
  </si>
  <si>
    <t>D0020</t>
  </si>
  <si>
    <t>C011</t>
  </si>
  <si>
    <t>D0021</t>
  </si>
  <si>
    <t>D0022</t>
  </si>
  <si>
    <t>C016</t>
  </si>
  <si>
    <t>D0023</t>
  </si>
  <si>
    <t>D0024</t>
  </si>
  <si>
    <t>D0025</t>
  </si>
  <si>
    <t>D0026</t>
  </si>
  <si>
    <t>D0027</t>
  </si>
  <si>
    <t>C019</t>
  </si>
  <si>
    <t>F009</t>
  </si>
  <si>
    <t>InfraMax</t>
  </si>
  <si>
    <t>Operações</t>
  </si>
  <si>
    <t>D0028</t>
  </si>
  <si>
    <t>C017</t>
  </si>
  <si>
    <t>D0029</t>
  </si>
  <si>
    <t>D0030</t>
  </si>
  <si>
    <t>C020</t>
  </si>
  <si>
    <t>D0031</t>
  </si>
  <si>
    <t>D0032</t>
  </si>
  <si>
    <t>D0033</t>
  </si>
  <si>
    <t>D0034</t>
  </si>
  <si>
    <t>C006</t>
  </si>
  <si>
    <t>F002</t>
  </si>
  <si>
    <t>Beta Facilities</t>
  </si>
  <si>
    <t>D0035</t>
  </si>
  <si>
    <t>D0036</t>
  </si>
  <si>
    <t>D0037</t>
  </si>
  <si>
    <t>D0038</t>
  </si>
  <si>
    <t>C005</t>
  </si>
  <si>
    <t>D0039</t>
  </si>
  <si>
    <t>D0040</t>
  </si>
  <si>
    <t>C008</t>
  </si>
  <si>
    <t>D0041</t>
  </si>
  <si>
    <t>C018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</si>
  <si>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</si>
  <si>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</si>
  <si>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</si>
  <si>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</si>
  <si>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</si>
  <si>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</si>
  <si>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</si>
  <si>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</si>
  <si>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</si>
  <si>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</si>
  <si>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</si>
  <si>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</si>
  <si>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</si>
  <si>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</si>
  <si>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</si>
  <si>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</si>
  <si>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</si>
  <si>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</si>
  <si>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</si>
  <si>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</si>
  <si>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</si>
  <si>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</si>
  <si>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</si>
  <si>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</si>
  <si>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</si>
  <si>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</si>
  <si>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</si>
  <si>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</si>
  <si>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</si>
  <si>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</si>
  <si>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</si>
  <si>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</si>
  <si>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</si>
  <si>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</si>
  <si>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</si>
  <si>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</si>
  <si>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</si>
  <si>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</si>
  <si>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</si>
  <si>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</si>
  <si>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</si>
  <si>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</si>
  <si>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</si>
  <si>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</si>
  <si>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</si>
  <si>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</si>
  <si>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</si>
  <si>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</si>
  <si>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</si>
  <si>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</si>
  <si>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</si>
  <si>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</si>
  <si>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</si>
  <si>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C004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</si>
  <si>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</si>
  <si>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</si>
  <si>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</si>
  <si>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</si>
  <si>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</si>
  <si>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</si>
  <si>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</si>
  <si>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</si>
  <si>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</si>
  <si>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</si>
  <si>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</si>
  <si>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</si>
  <si>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</si>
  <si>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</si>
  <si>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</si>
  <si>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</si>
  <si>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</si>
  <si>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</si>
  <si>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</si>
  <si>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</si>
  <si>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</si>
  <si>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</si>
  <si>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</si>
  <si>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</si>
  <si>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</si>
  <si>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</si>
  <si>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</si>
  <si>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</si>
  <si>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</si>
  <si>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</si>
  <si>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</si>
  <si>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</si>
  <si>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</si>
  <si>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</si>
  <si>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</si>
  <si>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</si>
  <si>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</si>
  <si>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</si>
  <si>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</si>
  <si>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</si>
  <si>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</si>
  <si>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</si>
  <si>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</si>
  <si>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</si>
  <si>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</si>
  <si>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</si>
  <si>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</si>
  <si>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</si>
  <si>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</si>
  <si>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</si>
  <si>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</si>
  <si>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</si>
  <si>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</si>
  <si>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</si>
  <si>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</si>
  <si>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</si>
  <si>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</si>
  <si>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</si>
  <si>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</si>
  <si>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</si>
  <si>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</si>
  <si>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</si>
  <si>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</si>
  <si>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</si>
  <si>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</si>
  <si>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</si>
  <si>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</si>
  <si>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</si>
  <si>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</si>
  <si>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</si>
  <si>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</si>
  <si>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</si>
  <si>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</si>
  <si>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</si>
  <si>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</si>
  <si>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</si>
  <si>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</si>
  <si>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</si>
  <si>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</si>
  <si>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</si>
  <si>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</si>
  <si>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</si>
  <si>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</si>
  <si>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</si>
  <si>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</si>
  <si>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</si>
  <si>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</si>
  <si>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</si>
  <si>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</si>
  <si>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</si>
  <si>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</si>
  <si>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</si>
  <si>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</si>
  <si>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</si>
  <si>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</si>
  <si>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</si>
  <si>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</si>
  <si>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</si>
  <si>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</si>
  <si>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</si>
  <si>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</si>
  <si>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</si>
  <si>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</si>
  <si>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</si>
  <si>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</si>
  <si>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</si>
  <si>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</si>
  <si>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</si>
  <si>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</si>
  <si>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</si>
  <si>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</si>
  <si>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</si>
  <si>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</si>
  <si>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</si>
  <si>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</si>
  <si>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</si>
  <si>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</si>
  <si>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</si>
  <si>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</si>
  <si>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</si>
  <si>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</si>
  <si>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</si>
  <si>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</si>
  <si>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</si>
  <si>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</si>
  <si>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</si>
  <si>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</si>
  <si>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</si>
  <si>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</si>
  <si>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</si>
  <si>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</si>
  <si>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</si>
  <si>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</si>
  <si>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</si>
  <si>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</si>
  <si>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</si>
  <si>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</si>
  <si>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</si>
  <si>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</si>
  <si>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</si>
  <si>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</si>
  <si>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</si>
  <si>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</si>
  <si>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</si>
  <si>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</si>
  <si>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</si>
  <si>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objeto_contrato</t>
  </si>
  <si>
    <t>data_inicio</t>
  </si>
  <si>
    <t>data_fim</t>
  </si>
  <si>
    <t>valor_total_contrato</t>
  </si>
  <si>
    <t>status_contrato</t>
  </si>
  <si>
    <t>gestor_responsavel</t>
  </si>
  <si>
    <t>Prestação de serviços continuados</t>
  </si>
  <si>
    <t>Vigente</t>
  </si>
  <si>
    <t>Fernanda Lima</t>
  </si>
  <si>
    <t>Suporte técnico operacional</t>
  </si>
  <si>
    <t>Rafael Costa</t>
  </si>
  <si>
    <t>Encerrado</t>
  </si>
  <si>
    <t>Ana Paula</t>
  </si>
  <si>
    <t>Serviços de manutenção preventiva</t>
  </si>
  <si>
    <t>Bruno Ramos</t>
  </si>
  <si>
    <t>Próximo do vencimento</t>
  </si>
  <si>
    <t>Fornecimento de materiais</t>
  </si>
  <si>
    <t>Carlos Mendes</t>
  </si>
  <si>
    <t>Atendimento de demandas administrativas</t>
  </si>
  <si>
    <t>categoria_fornecedor</t>
  </si>
  <si>
    <t>uf</t>
  </si>
  <si>
    <t>status_fornecedor</t>
  </si>
  <si>
    <t>avaliacao</t>
  </si>
  <si>
    <t>Limpeza</t>
  </si>
  <si>
    <t>DF</t>
  </si>
  <si>
    <t>Ativo</t>
  </si>
  <si>
    <t>GO</t>
  </si>
  <si>
    <t>Segurança</t>
  </si>
  <si>
    <t>Material de Escritório</t>
  </si>
  <si>
    <t>SP</t>
  </si>
  <si>
    <t>Transporte</t>
  </si>
  <si>
    <t>MG</t>
  </si>
  <si>
    <t>RJ</t>
  </si>
  <si>
    <t>Inativo</t>
  </si>
  <si>
    <t>Consultoria</t>
  </si>
  <si>
    <t>pagamento_id</t>
  </si>
  <si>
    <t>competencia</t>
  </si>
  <si>
    <t>data_pagamento</t>
  </si>
  <si>
    <t>valor_pago</t>
  </si>
  <si>
    <t>status_pagamento</t>
  </si>
  <si>
    <t>tipo_despesa</t>
  </si>
  <si>
    <t>P0001</t>
  </si>
  <si>
    <t>Pago</t>
  </si>
  <si>
    <t>P0002</t>
  </si>
  <si>
    <t>Serviço avulso</t>
  </si>
  <si>
    <t>P0003</t>
  </si>
  <si>
    <t>Mensal</t>
  </si>
  <si>
    <t>P0004</t>
  </si>
  <si>
    <t>P0005</t>
  </si>
  <si>
    <t>Em análise</t>
  </si>
  <si>
    <t>Material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</si>
  <si>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</si>
  <si>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</si>
  <si>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</si>
  <si>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</si>
  <si>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</si>
  <si>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</si>
  <si>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</si>
  <si>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</si>
  <si>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</si>
  <si>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</si>
  <si>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</si>
  <si>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</si>
  <si>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</si>
  <si>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</si>
  <si>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</si>
  <si>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</si>
  <si>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</si>
  <si>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Atrasado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</si>
  <si>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</si>
  <si>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</si>
  <si>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</si>
  <si>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</si>
  <si>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</si>
  <si>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</si>
  <si>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</si>
  <si>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</si>
  <si>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</si>
  <si>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</si>
  <si>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</si>
  <si>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</si>
  <si>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</si>
  <si>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</si>
  <si>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</si>
  <si>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</si>
  <si>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</si>
  <si>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</si>
  <si>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Pendente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</si>
  <si>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</si>
  <si>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</si>
  <si>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</si>
  <si>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</si>
  <si>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</si>
  <si>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</si>
  <si>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</si>
  <si>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</si>
  <si>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</si>
  <si>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</si>
  <si>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</si>
  <si>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</si>
  <si>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</si>
  <si>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</si>
  <si>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</si>
  <si>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</si>
  <si>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</si>
  <si>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</si>
  <si>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</si>
  <si>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</si>
  <si>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</si>
  <si>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</si>
  <si>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</si>
  <si>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</si>
  <si>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</si>
  <si>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</si>
  <si>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</si>
  <si>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</si>
  <si>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</si>
  <si>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</si>
  <si>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</si>
  <si>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</si>
  <si>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</si>
  <si>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</si>
  <si>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</si>
  <si>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</si>
  <si>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</si>
  <si>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</si>
  <si>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</si>
  <si>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</si>
  <si>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</si>
  <si>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</si>
  <si>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</si>
  <si>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</si>
  <si>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</si>
  <si>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</si>
  <si>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</si>
  <si>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</si>
  <si>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</si>
  <si>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</si>
  <si>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</si>
  <si>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</si>
  <si>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</si>
  <si>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</si>
  <si>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</si>
  <si>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</si>
  <si>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</si>
  <si>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</si>
  <si>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</si>
  <si>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</si>
  <si>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</si>
  <si>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</si>
  <si>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</si>
  <si>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</si>
  <si>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</si>
  <si>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</si>
  <si>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</si>
  <si>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</si>
  <si>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</si>
  <si>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</si>
  <si>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</si>
  <si>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</si>
  <si>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</si>
  <si>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</si>
  <si>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</si>
  <si>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</si>
  <si>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</si>
  <si>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</si>
  <si>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</si>
  <si>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</si>
  <si>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Indicador</t>
  </si>
  <si>
    <t>Resultado</t>
  </si>
  <si>
    <t>Total de demandas</t>
  </si>
  <si>
    <t>Demandas concluídas</t>
  </si>
  <si>
    <t>Demandas em andamento</t>
  </si>
  <si>
    <t>Demandas atrasadas</t>
  </si>
  <si>
    <t>Demandas canceladas</t>
  </si>
  <si>
    <t>Percentual de SLA cumprido</t>
  </si>
  <si>
    <t>Tempo médio de atendimento</t>
  </si>
  <si>
    <t>Total de pagamentos</t>
  </si>
  <si>
    <t>Valor total pago</t>
  </si>
  <si>
    <t>Pagamentos pendentes</t>
  </si>
  <si>
    <t>Contratos vigentes</t>
  </si>
  <si>
    <t>Contratos próximos do vencimento</t>
  </si>
  <si>
    <t>Rótulos de Linha</t>
  </si>
  <si>
    <t>Total Geral</t>
  </si>
  <si>
    <t>Contagem de demanda_id</t>
  </si>
  <si>
    <t>Demandas por Status</t>
  </si>
  <si>
    <t>Demandas por Prioridade</t>
  </si>
  <si>
    <t>Demandas por Categoria</t>
  </si>
  <si>
    <t>Contagem de pagamento_id</t>
  </si>
  <si>
    <t>Pagamentos por Status</t>
  </si>
  <si>
    <t>Dashboard Operacional</t>
  </si>
  <si>
    <t>Total de Demandas</t>
  </si>
  <si>
    <t>Demandas Concluídas</t>
  </si>
  <si>
    <t>SLA Cumprido</t>
  </si>
  <si>
    <t>Valor Total Pago</t>
  </si>
  <si>
    <t>Demandas Atrasadas</t>
  </si>
  <si>
    <t>Pagamentos Pendentes</t>
  </si>
  <si>
    <t>Contratos Vigentes</t>
  </si>
  <si>
    <t>Tempo Médio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</si>
</sst>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R$&quot;\ #,##0.00"/>
    <numFmt numFmtId="170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70" fontId="0" fillId="0" borderId="2" xfId="0" applyNumberFormat="1" applyBorder="1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0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70" fontId="3" fillId="3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Demandas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51241056796834"/>
          <c:y val="0.27172467571988285"/>
          <c:w val="0.7761642607174102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Tabelas_Dinamicas!$B$3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Tabelas_Dinamicas!$A$4:$A$8</c:f>
              <c:strCache>
                <c:ptCount val="4"/>
                <c:pt idx="0">
                  <c:v>Atrasada</c:v>
                </c:pt>
                <c:pt idx="1">
                  <c:v>Cancelada</c:v>
                </c:pt>
                <c:pt idx="2">
                  <c:v>Concluída</c:v>
                </c:pt>
                <c:pt idx="3">
                  <c:v>Em andamento</c:v>
                </c:pt>
              </c:strCache>
            </c:strRef>
          </c:cat>
          <c:val>
            <c:numRef>
              <c:f>Tabelas_Dinamicas!$B$4:$B$8</c:f>
              <c:numCache>
                <c:formatCode>General</c:formatCode>
                <c:ptCount val="4"/>
                <c:pt idx="0">
                  <c:v>41</c:v>
                </c:pt>
                <c:pt idx="1">
                  <c:v>49</c:v>
                </c:pt>
                <c:pt idx="2">
                  <c:v>109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E-4BAC-B88F-38A517DC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311167"/>
        <c:axId val="625310207"/>
      </c:barChart>
      <c:catAx>
        <c:axId val="6253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310207"/>
        <c:crosses val="autoZero"/>
        <c:auto val="1"/>
        <c:lblAlgn val="ctr"/>
        <c:lblOffset val="100"/>
        <c:noMultiLvlLbl val="0"/>
      </c:catAx>
      <c:valAx>
        <c:axId val="6253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3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Tabelas_Dinamicas!$D$4:$D$8</c:f>
              <c:strCache>
                <c:ptCount val="4"/>
                <c:pt idx="0">
                  <c:v>Alta</c:v>
                </c:pt>
                <c:pt idx="1">
                  <c:v>Baixa</c:v>
                </c:pt>
                <c:pt idx="2">
                  <c:v>Crítica</c:v>
                </c:pt>
                <c:pt idx="3">
                  <c:v>Média</c:v>
                </c:pt>
              </c:strCache>
            </c:strRef>
          </c:cat>
          <c:val>
            <c:numRef>
              <c:f>Tabelas_Dinamicas!$E$4:$E$8</c:f>
              <c:numCache>
                <c:formatCode>General</c:formatCode>
                <c:ptCount val="4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7-439D-912C-32E933EDA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67503"/>
        <c:axId val="1744670383"/>
      </c:barChart>
      <c:catAx>
        <c:axId val="17446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670383"/>
        <c:crosses val="autoZero"/>
        <c:auto val="1"/>
        <c:lblAlgn val="ctr"/>
        <c:lblOffset val="100"/>
        <c:noMultiLvlLbl val="0"/>
      </c:catAx>
      <c:valAx>
        <c:axId val="174467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6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Demandas</a:t>
            </a:r>
            <a:r>
              <a:rPr lang="pt-BR" baseline="0"/>
              <a:t> por Categoria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Tabelas_Dinamicas!$G$4:$G$10</c:f>
              <c:strCache>
                <c:ptCount val="6"/>
                <c:pt idx="0">
                  <c:v>Análise</c:v>
                </c:pt>
                <c:pt idx="1">
                  <c:v>Correção</c:v>
                </c:pt>
                <c:pt idx="2">
                  <c:v>Entrega</c:v>
                </c:pt>
                <c:pt idx="3">
                  <c:v>Manutenção</c:v>
                </c:pt>
                <c:pt idx="4">
                  <c:v>Solicitação</c:v>
                </c:pt>
                <c:pt idx="5">
                  <c:v>Suporte</c:v>
                </c:pt>
              </c:strCache>
            </c:strRef>
          </c:cat>
          <c:val>
            <c:numRef>
              <c:f>Tabelas_Dinamicas!$H$4:$H$10</c:f>
              <c:numCache>
                <c:formatCode>General</c:formatCode>
                <c:ptCount val="6"/>
                <c:pt idx="0">
                  <c:v>51</c:v>
                </c:pt>
                <c:pt idx="1">
                  <c:v>32</c:v>
                </c:pt>
                <c:pt idx="2">
                  <c:v>31</c:v>
                </c:pt>
                <c:pt idx="3">
                  <c:v>38</c:v>
                </c:pt>
                <c:pt idx="4">
                  <c:v>44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0-4E99-BEAA-D84AF4D22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058239"/>
        <c:axId val="916061119"/>
      </c:barChart>
      <c:catAx>
        <c:axId val="9160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061119"/>
        <c:crosses val="autoZero"/>
        <c:auto val="1"/>
        <c:lblAlgn val="ctr"/>
        <c:lblOffset val="100"/>
        <c:noMultiLvlLbl val="0"/>
      </c:catAx>
      <c:valAx>
        <c:axId val="91606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0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Pagamentos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Tabelas_Dinamicas!$J$4:$J$8</c:f>
              <c:strCache>
                <c:ptCount val="4"/>
                <c:pt idx="0">
                  <c:v>Atrasado</c:v>
                </c:pt>
                <c:pt idx="1">
                  <c:v>Em análise</c:v>
                </c:pt>
                <c:pt idx="2">
                  <c:v>Pago</c:v>
                </c:pt>
                <c:pt idx="3">
                  <c:v>Pendente</c:v>
                </c:pt>
              </c:strCache>
            </c:strRef>
          </c:cat>
          <c:val>
            <c:numRef>
              <c:f>Tabelas_Dinamicas!$K$4:$K$8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67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2-405A-8D60-EB42830F4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323295"/>
        <c:axId val="2054325215"/>
      </c:barChart>
      <c:catAx>
        <c:axId val="20543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325215"/>
        <c:crosses val="autoZero"/>
        <c:auto val="1"/>
        <c:lblAlgn val="ctr"/>
        <c:lblOffset val="100"/>
        <c:noMultiLvlLbl val="0"/>
      </c:catAx>
      <c:valAx>
        <c:axId val="20543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3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Demandas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51241056796834"/>
          <c:y val="0.27172467571988285"/>
          <c:w val="0.77616426071741029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Tabelas_Dinamicas!$B$3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Tabelas_Dinamicas!$A$4:$A$8</c:f>
              <c:strCache>
                <c:ptCount val="4"/>
                <c:pt idx="0">
                  <c:v>Atrasada</c:v>
                </c:pt>
                <c:pt idx="1">
                  <c:v>Cancelada</c:v>
                </c:pt>
                <c:pt idx="2">
                  <c:v>Concluída</c:v>
                </c:pt>
                <c:pt idx="3">
                  <c:v>Em andamento</c:v>
                </c:pt>
              </c:strCache>
            </c:strRef>
          </c:cat>
          <c:val>
            <c:numRef>
              <c:f>Tabelas_Dinamicas!$B$4:$B$8</c:f>
              <c:numCache>
                <c:formatCode>General</c:formatCode>
                <c:ptCount val="4"/>
                <c:pt idx="0">
                  <c:v>41</c:v>
                </c:pt>
                <c:pt idx="1">
                  <c:v>49</c:v>
                </c:pt>
                <c:pt idx="2">
                  <c:v>109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E77-9729-7528F4176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5311167"/>
        <c:axId val="625310207"/>
      </c:barChart>
      <c:catAx>
        <c:axId val="6253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310207"/>
        <c:crosses val="autoZero"/>
        <c:auto val="1"/>
        <c:lblAlgn val="ctr"/>
        <c:lblOffset val="100"/>
        <c:noMultiLvlLbl val="0"/>
      </c:catAx>
      <c:valAx>
        <c:axId val="6253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3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Demandas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Tabelas_Dinamicas!$D$4:$D$8</c:f>
              <c:strCache>
                <c:ptCount val="4"/>
                <c:pt idx="0">
                  <c:v>Alta</c:v>
                </c:pt>
                <c:pt idx="1">
                  <c:v>Baixa</c:v>
                </c:pt>
                <c:pt idx="2">
                  <c:v>Crítica</c:v>
                </c:pt>
                <c:pt idx="3">
                  <c:v>Média</c:v>
                </c:pt>
              </c:strCache>
            </c:strRef>
          </c:cat>
          <c:val>
            <c:numRef>
              <c:f>Tabelas_Dinamicas!$E$4:$E$8</c:f>
              <c:numCache>
                <c:formatCode>General</c:formatCode>
                <c:ptCount val="4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7-4A41-8437-E21143916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4667503"/>
        <c:axId val="1744670383"/>
      </c:barChart>
      <c:catAx>
        <c:axId val="17446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670383"/>
        <c:crosses val="autoZero"/>
        <c:auto val="1"/>
        <c:lblAlgn val="ctr"/>
        <c:lblOffset val="100"/>
        <c:noMultiLvlLbl val="0"/>
      </c:catAx>
      <c:valAx>
        <c:axId val="174467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46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Demandas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Tabelas_Dinamicas!$G$4:$G$10</c:f>
              <c:strCache>
                <c:ptCount val="6"/>
                <c:pt idx="0">
                  <c:v>Análise</c:v>
                </c:pt>
                <c:pt idx="1">
                  <c:v>Correção</c:v>
                </c:pt>
                <c:pt idx="2">
                  <c:v>Entrega</c:v>
                </c:pt>
                <c:pt idx="3">
                  <c:v>Manutenção</c:v>
                </c:pt>
                <c:pt idx="4">
                  <c:v>Solicitação</c:v>
                </c:pt>
                <c:pt idx="5">
                  <c:v>Suporte</c:v>
                </c:pt>
              </c:strCache>
            </c:strRef>
          </c:cat>
          <c:val>
            <c:numRef>
              <c:f>Tabelas_Dinamicas!$H$4:$H$10</c:f>
              <c:numCache>
                <c:formatCode>General</c:formatCode>
                <c:ptCount val="6"/>
                <c:pt idx="0">
                  <c:v>51</c:v>
                </c:pt>
                <c:pt idx="1">
                  <c:v>32</c:v>
                </c:pt>
                <c:pt idx="2">
                  <c:v>31</c:v>
                </c:pt>
                <c:pt idx="3">
                  <c:v>38</c:v>
                </c:pt>
                <c:pt idx="4">
                  <c:v>44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A-4864-A8CE-E1703109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6058239"/>
        <c:axId val="916061119"/>
      </c:barChart>
      <c:catAx>
        <c:axId val="9160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061119"/>
        <c:crosses val="autoZero"/>
        <c:auto val="1"/>
        <c:lblAlgn val="ctr"/>
        <c:lblOffset val="100"/>
        <c:noMultiLvlLbl val="0"/>
      </c:catAx>
      <c:valAx>
        <c:axId val="91606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60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[dashboard_operacional_excel.xlsx]Tabelas_Dinamicas!Tabela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Pagamentos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Tabelas_Dinamicas!$K$3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Tabelas_Dinamicas!$J$4:$J$8</c:f>
              <c:strCache>
                <c:ptCount val="4"/>
                <c:pt idx="0">
                  <c:v>Atrasado</c:v>
                </c:pt>
                <c:pt idx="1">
                  <c:v>Em análise</c:v>
                </c:pt>
                <c:pt idx="2">
                  <c:v>Pago</c:v>
                </c:pt>
                <c:pt idx="3">
                  <c:v>Pendente</c:v>
                </c:pt>
              </c:strCache>
            </c:strRef>
          </c:cat>
          <c:val>
            <c:numRef>
              <c:f>Tabelas_Dinamicas!$K$4:$K$8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67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6-45EE-A33C-DC144020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54323295"/>
        <c:axId val="2054325215"/>
      </c:barChart>
      <c:catAx>
        <c:axId val="20543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325215"/>
        <c:crosses val="autoZero"/>
        <c:auto val="1"/>
        <c:lblAlgn val="ctr"/>
        <c:lblOffset val="100"/>
        <c:noMultiLvlLbl val="0"/>
      </c:catAx>
      <c:valAx>
        <c:axId val="20543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3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2</xdr:col>
      <xdr:colOff>7620</xdr:colOff>
      <xdr:row>24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6D1B9E-B0A2-1CDA-8A81-0A36F4B97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</xdr:row>
      <xdr:rowOff>7620</xdr:rowOff>
    </xdr:from>
    <xdr:to>
      <xdr:col>5</xdr:col>
      <xdr:colOff>0</xdr:colOff>
      <xdr:row>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8D7801-B920-3183-D788-C6D90D1F6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11</xdr:row>
      <xdr:rowOff>0</xdr:rowOff>
    </xdr:from>
    <xdr:to>
      <xdr:col>8</xdr:col>
      <xdr:colOff>30480</xdr:colOff>
      <xdr:row>26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E3B6C1-A116-A035-23A7-C35F45A98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22860</xdr:colOff>
      <xdr:row>9</xdr:row>
      <xdr:rowOff>7620</xdr:rowOff>
    </xdr:from>
    <xdr:to>
      <xdr:col>11</xdr:col>
      <xdr:colOff>22860</xdr:colOff>
      <xdr:row>24</xdr:row>
      <xdr:rowOff>121920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1CA5BE-14A9-EB8B-68F6-9E9B0EFF0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736962</xdr:colOff>
      <xdr:row>6</xdr:row>
      <xdr:rowOff>130629</xdr:rowOff>
    </xdr:from>
    <xdr:to>
      <xdr:col>2</xdr:col>
      <xdr:colOff>751115</xdr:colOff>
      <xdr:row>20</xdr:row>
      <xdr:rowOff>138249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6D8C30-A3BD-4471-AF3B-F1A614DEC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6</xdr:col>
      <xdr:colOff>990600</xdr:colOff>
      <xdr:row>20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E6BA6B-0B63-46FF-BCBA-60E99E0E0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740229</xdr:colOff>
      <xdr:row>22</xdr:row>
      <xdr:rowOff>32658</xdr:rowOff>
    </xdr:from>
    <xdr:to>
      <xdr:col>2</xdr:col>
      <xdr:colOff>747849</xdr:colOff>
      <xdr:row>36</xdr:row>
      <xdr:rowOff>32658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AA96A0-928A-4AA6-809A-9B81FF4C6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22</xdr:row>
      <xdr:rowOff>1</xdr:rowOff>
    </xdr:from>
    <xdr:to>
      <xdr:col>6</xdr:col>
      <xdr:colOff>979714</xdr:colOff>
      <xdr:row>36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BAEE50-2FFA-4FF2-8DBF-D0E269B23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LOPES" refreshedDate="46217.651700000002" createdVersion="8" refreshedVersion="8" minRefreshableVersion="3" recordCount="240" xr:uid="{16F016A2-88F5-46DE-8D4B-2C9F4C5F3C83}">
  <cacheSource type="worksheet">
    <worksheetSource name="tbl_Demandas"/>
  </cacheSource>
  <cacheFields count="15">
    <cacheField name="demanda_id" numFmtId="0">
      <sharedItems/>
    </cacheField>
    <cacheField name="contrato_id" numFmtId="0">
      <sharedItems/>
    </cacheField>
    <cacheField name="fornecedor_id" numFmtId="0">
      <sharedItems/>
    </cacheField>
    <cacheField name="fornecedor" numFmtId="0">
      <sharedItems/>
    </cacheField>
    <cacheField name="data_abertura" numFmtId="14">
      <sharedItems containsSemiMixedTypes="0" containsNonDate="0" containsDate="1" containsString="0" minDate="2025-01-05T00:00:00" maxDate="2026-06-30T00:00:00"/>
    </cacheField>
    <cacheField name="data_limite" numFmtId="14">
      <sharedItems containsSemiMixedTypes="0" containsNonDate="0" containsDate="1" containsString="0" minDate="2025-01-09T00:00:00" maxDate="2026-07-10T00:00:00"/>
    </cacheField>
    <cacheField name="data_conclusao" numFmtId="14">
      <sharedItems containsNonDate="0" containsDate="1" containsString="0" containsBlank="1" minDate="2025-01-18T00:00:00" maxDate="2026-07-13T00:00:00"/>
    </cacheField>
    <cacheField name="categoria_demanda" numFmtId="0">
      <sharedItems count="6">
        <s v="Análise"/>
        <s v="Solicitação"/>
        <s v="Suporte"/>
        <s v="Entrega"/>
        <s v="Correção"/>
        <s v="Manutenção"/>
      </sharedItems>
    </cacheField>
    <cacheField name="prioridade" numFmtId="0">
      <sharedItems count="4">
        <s v="Média"/>
        <s v="Baixa"/>
        <s v="Alta"/>
        <s v="Crítica"/>
      </sharedItems>
    </cacheField>
    <cacheField name="status_demanda" numFmtId="0">
      <sharedItems count="4">
        <s v="Atrasada"/>
        <s v="Concluída"/>
        <s v="Cancelada"/>
        <s v="Em andamento"/>
      </sharedItems>
    </cacheField>
    <cacheField name="sla_dias" numFmtId="0">
      <sharedItems containsSemiMixedTypes="0" containsString="0" containsNumber="1" containsInteger="1" minValue="2" maxValue="15"/>
    </cacheField>
    <cacheField name="tempo_atendimento_dias" numFmtId="0">
      <sharedItems containsString="0" containsBlank="1" containsNumber="1" containsInteger="1" minValue="1" maxValue="35"/>
    </cacheField>
    <cacheField name="sla_cumprido" numFmtId="0">
      <sharedItems/>
    </cacheField>
    <cacheField name="valor_estimado" numFmtId="0">
      <sharedItems containsSemiMixedTypes="0" containsString="0" containsNumber="1" minValue="580.9" maxValue="24857.93"/>
    </cacheField>
    <cacheField name="unid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LOPES" refreshedDate="46218.441192824073" createdVersion="8" refreshedVersion="8" minRefreshableVersion="3" recordCount="120" xr:uid="{565FFD30-7D98-4079-8883-F68F952AA0AC}">
  <cacheSource type="worksheet">
    <worksheetSource name="tbl_Pagamentos"/>
  </cacheSource>
  <cacheFields count="9">
    <cacheField name="pagamento_id" numFmtId="0">
      <sharedItems/>
    </cacheField>
    <cacheField name="contrato_id" numFmtId="0">
      <sharedItems/>
    </cacheField>
    <cacheField name="fornecedor_id" numFmtId="0">
      <sharedItems/>
    </cacheField>
    <cacheField name="fornecedor" numFmtId="0">
      <sharedItems/>
    </cacheField>
    <cacheField name="competencia" numFmtId="14">
      <sharedItems containsSemiMixedTypes="0" containsNonDate="0" containsDate="1" containsString="0" minDate="2025-01-01T00:00:00" maxDate="2026-12-02T00:00:00"/>
    </cacheField>
    <cacheField name="data_pagamento" numFmtId="14">
      <sharedItems containsNonDate="0" containsDate="1" containsString="0" containsBlank="1" minDate="2025-01-10T00:00:00" maxDate="2026-06-27T00:00:00"/>
    </cacheField>
    <cacheField name="valor_pago" numFmtId="0">
      <sharedItems containsSemiMixedTypes="0" containsString="0" containsNumber="1" minValue="3103.55" maxValue="59738.080000000002"/>
    </cacheField>
    <cacheField name="status_pagamento" numFmtId="0">
      <sharedItems count="4">
        <s v="Pago"/>
        <s v="Em análise"/>
        <s v="Atrasado"/>
        <s v="Pendente"/>
      </sharedItems>
    </cacheField>
    <cacheField name="tipo_despes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D0001"/>
    <s v="C003"/>
    <s v="F004"/>
    <s v="Delta Segurança"/>
    <d v="2025-06-28T00:00:00"/>
    <d v="2025-07-08T00:00:00"/>
    <m/>
    <x v="0"/>
    <x v="0"/>
    <x v="0"/>
    <n v="10"/>
    <n v="12"/>
    <s v="Não"/>
    <n v="15359.4"/>
    <s v="Atendimento"/>
  </r>
  <r>
    <s v="D0002"/>
    <s v="C012"/>
    <s v="F006"/>
    <s v="Forte Logística"/>
    <d v="2025-02-15T00:00:00"/>
    <d v="2025-03-02T00:00:00"/>
    <d v="2025-02-19T00:00:00"/>
    <x v="1"/>
    <x v="1"/>
    <x v="1"/>
    <n v="15"/>
    <n v="4"/>
    <s v="Sim"/>
    <n v="6616.22"/>
    <s v="Tecnologia"/>
  </r>
  <r>
    <s v="D0003"/>
    <s v="C015"/>
    <s v="F007"/>
    <s v="Global Sistemas"/>
    <d v="2025-06-21T00:00:00"/>
    <d v="2025-06-26T00:00:00"/>
    <d v="2025-07-09T00:00:00"/>
    <x v="2"/>
    <x v="2"/>
    <x v="1"/>
    <n v="5"/>
    <n v="18"/>
    <s v="Não"/>
    <n v="7352.93"/>
    <s v="Administrativo"/>
  </r>
  <r>
    <s v="D0004"/>
    <s v="C003"/>
    <s v="F004"/>
    <s v="Delta Segurança"/>
    <d v="2026-06-26T00:00:00"/>
    <d v="2026-06-28T00:00:00"/>
    <d v="2026-07-12T00:00:00"/>
    <x v="0"/>
    <x v="3"/>
    <x v="1"/>
    <n v="2"/>
    <n v="16"/>
    <s v="Não"/>
    <n v="16316.94"/>
    <s v="Atendimento"/>
  </r>
  <r>
    <s v="D0005"/>
    <s v="C009"/>
    <s v="F007"/>
    <s v="Global Sistemas"/>
    <d v="2025-10-11T00:00:00"/>
    <d v="2025-10-16T00:00:00"/>
    <d v="2025-10-23T00:00:00"/>
    <x v="3"/>
    <x v="2"/>
    <x v="1"/>
    <n v="5"/>
    <n v="12"/>
    <s v="Não"/>
    <n v="20111.25"/>
    <s v="Administrativo"/>
  </r>
  <r>
    <s v="D0006"/>
    <s v="C007"/>
    <s v="F008"/>
    <s v="Higieniza Mais"/>
    <d v="2026-02-04T00:00:00"/>
    <d v="2026-02-19T00:00:00"/>
    <m/>
    <x v="4"/>
    <x v="1"/>
    <x v="2"/>
    <n v="15"/>
    <m/>
    <s v="Não se aplica"/>
    <n v="22265.91"/>
    <s v="Administrativo"/>
  </r>
  <r>
    <s v="D0007"/>
    <s v="C009"/>
    <s v="F007"/>
    <s v="Global Sistemas"/>
    <d v="2025-12-10T00:00:00"/>
    <d v="2025-12-25T00:00:00"/>
    <m/>
    <x v="0"/>
    <x v="1"/>
    <x v="3"/>
    <n v="15"/>
    <m/>
    <s v=""/>
    <n v="11999.62"/>
    <s v="Administrativo"/>
  </r>
  <r>
    <s v="D0008"/>
    <s v="C015"/>
    <s v="F007"/>
    <s v="Global Sistemas"/>
    <d v="2025-06-19T00:00:00"/>
    <d v="2025-06-29T00:00:00"/>
    <m/>
    <x v="3"/>
    <x v="0"/>
    <x v="2"/>
    <n v="10"/>
    <m/>
    <s v="Não se aplica"/>
    <n v="13259.03"/>
    <s v="Administrativo"/>
  </r>
  <r>
    <s v="D0009"/>
    <s v="C014"/>
    <s v="F001"/>
    <s v="Alpha Serviços"/>
    <d v="2026-05-02T00:00:00"/>
    <d v="2026-05-17T00:00:00"/>
    <m/>
    <x v="5"/>
    <x v="1"/>
    <x v="3"/>
    <n v="15"/>
    <m/>
    <s v=""/>
    <n v="7292.62"/>
    <s v="Administrativo"/>
  </r>
  <r>
    <s v="D0010"/>
    <s v="C015"/>
    <s v="F007"/>
    <s v="Global Sistemas"/>
    <d v="2025-02-03T00:00:00"/>
    <d v="2025-02-08T00:00:00"/>
    <m/>
    <x v="5"/>
    <x v="2"/>
    <x v="2"/>
    <n v="5"/>
    <m/>
    <s v="Não se aplica"/>
    <n v="12327.54"/>
    <s v="Administrativo"/>
  </r>
  <r>
    <s v="D0011"/>
    <s v="C014"/>
    <s v="F001"/>
    <s v="Alpha Serviços"/>
    <d v="2025-01-30T00:00:00"/>
    <d v="2025-02-01T00:00:00"/>
    <m/>
    <x v="5"/>
    <x v="3"/>
    <x v="0"/>
    <n v="2"/>
    <n v="19"/>
    <s v="Não"/>
    <n v="580.9"/>
    <s v="Administrativo"/>
  </r>
  <r>
    <s v="D0012"/>
    <s v="C010"/>
    <s v="F005"/>
    <s v="Eco Office"/>
    <d v="2026-05-04T00:00:00"/>
    <d v="2026-05-09T00:00:00"/>
    <m/>
    <x v="5"/>
    <x v="2"/>
    <x v="2"/>
    <n v="5"/>
    <m/>
    <s v="Não se aplica"/>
    <n v="7374.7"/>
    <s v="Tecnologia"/>
  </r>
  <r>
    <s v="D0013"/>
    <s v="C001"/>
    <s v="F001"/>
    <s v="Alpha Serviços"/>
    <d v="2025-07-17T00:00:00"/>
    <d v="2025-07-22T00:00:00"/>
    <m/>
    <x v="1"/>
    <x v="2"/>
    <x v="0"/>
    <n v="5"/>
    <n v="20"/>
    <s v="Não"/>
    <n v="18057.54"/>
    <s v="Tecnologia"/>
  </r>
  <r>
    <s v="D0014"/>
    <s v="C010"/>
    <s v="F005"/>
    <s v="Eco Office"/>
    <d v="2025-04-02T00:00:00"/>
    <d v="2025-04-12T00:00:00"/>
    <m/>
    <x v="0"/>
    <x v="0"/>
    <x v="0"/>
    <n v="10"/>
    <n v="12"/>
    <s v="Não"/>
    <n v="5437.46"/>
    <s v="Tecnologia"/>
  </r>
  <r>
    <s v="D0015"/>
    <s v="C002"/>
    <s v="F010"/>
    <s v="Prime Soluções"/>
    <d v="2025-05-15T00:00:00"/>
    <d v="2025-05-25T00:00:00"/>
    <m/>
    <x v="2"/>
    <x v="0"/>
    <x v="2"/>
    <n v="10"/>
    <m/>
    <s v="Não se aplica"/>
    <n v="21355.73"/>
    <s v="Administrativo"/>
  </r>
  <r>
    <s v="D0016"/>
    <s v="C001"/>
    <s v="F001"/>
    <s v="Alpha Serviços"/>
    <d v="2026-06-02T00:00:00"/>
    <d v="2026-06-17T00:00:00"/>
    <m/>
    <x v="3"/>
    <x v="1"/>
    <x v="0"/>
    <n v="15"/>
    <n v="23"/>
    <s v="Não"/>
    <n v="23968.81"/>
    <s v="Tecnologia"/>
  </r>
  <r>
    <s v="D0017"/>
    <s v="C013"/>
    <s v="F003"/>
    <s v="Central Tech"/>
    <d v="2025-12-07T00:00:00"/>
    <d v="2025-12-17T00:00:00"/>
    <d v="2025-12-09T00:00:00"/>
    <x v="3"/>
    <x v="0"/>
    <x v="1"/>
    <n v="10"/>
    <n v="2"/>
    <s v="Sim"/>
    <n v="2075.81"/>
    <s v="Contratos"/>
  </r>
  <r>
    <s v="D0018"/>
    <s v="C001"/>
    <s v="F001"/>
    <s v="Alpha Serviços"/>
    <d v="2025-05-09T00:00:00"/>
    <d v="2025-05-14T00:00:00"/>
    <d v="2025-05-18T00:00:00"/>
    <x v="2"/>
    <x v="2"/>
    <x v="1"/>
    <n v="5"/>
    <n v="9"/>
    <s v="Não"/>
    <n v="18691.63"/>
    <s v="Tecnologia"/>
  </r>
  <r>
    <s v="D0019"/>
    <s v="C010"/>
    <s v="F005"/>
    <s v="Eco Office"/>
    <d v="2026-03-27T00:00:00"/>
    <d v="2026-04-06T00:00:00"/>
    <d v="2026-04-13T00:00:00"/>
    <x v="5"/>
    <x v="0"/>
    <x v="1"/>
    <n v="10"/>
    <n v="17"/>
    <s v="Não"/>
    <n v="5752.96"/>
    <s v="Tecnologia"/>
  </r>
  <r>
    <s v="D0020"/>
    <s v="C011"/>
    <s v="F004"/>
    <s v="Delta Segurança"/>
    <d v="2026-01-16T00:00:00"/>
    <d v="2026-01-31T00:00:00"/>
    <d v="2026-02-02T00:00:00"/>
    <x v="3"/>
    <x v="1"/>
    <x v="1"/>
    <n v="15"/>
    <n v="17"/>
    <s v="Não"/>
    <n v="13637.15"/>
    <s v="Atendimento"/>
  </r>
  <r>
    <s v="D0021"/>
    <s v="C002"/>
    <s v="F010"/>
    <s v="Prime Soluções"/>
    <d v="2025-09-14T00:00:00"/>
    <d v="2025-09-19T00:00:00"/>
    <d v="2025-09-18T00:00:00"/>
    <x v="1"/>
    <x v="2"/>
    <x v="1"/>
    <n v="5"/>
    <n v="4"/>
    <s v="Sim"/>
    <n v="18802.89"/>
    <s v="Administrativo"/>
  </r>
  <r>
    <s v="D0022"/>
    <s v="C016"/>
    <s v="F008"/>
    <s v="Higieniza Mais"/>
    <d v="2026-01-24T00:00:00"/>
    <d v="2026-01-29T00:00:00"/>
    <m/>
    <x v="5"/>
    <x v="2"/>
    <x v="3"/>
    <n v="5"/>
    <m/>
    <s v=""/>
    <n v="11116.79"/>
    <s v="Contratos"/>
  </r>
  <r>
    <s v="D0023"/>
    <s v="C003"/>
    <s v="F004"/>
    <s v="Delta Segurança"/>
    <d v="2025-01-27T00:00:00"/>
    <d v="2025-02-11T00:00:00"/>
    <m/>
    <x v="0"/>
    <x v="1"/>
    <x v="0"/>
    <n v="15"/>
    <n v="31"/>
    <s v="Não"/>
    <n v="10552.93"/>
    <s v="Atendimento"/>
  </r>
  <r>
    <s v="D0024"/>
    <s v="C007"/>
    <s v="F008"/>
    <s v="Higieniza Mais"/>
    <d v="2025-09-06T00:00:00"/>
    <d v="2025-09-08T00:00:00"/>
    <m/>
    <x v="0"/>
    <x v="3"/>
    <x v="2"/>
    <n v="2"/>
    <m/>
    <s v="Não se aplica"/>
    <n v="1371.32"/>
    <s v="Administrativo"/>
  </r>
  <r>
    <s v="D0025"/>
    <s v="C015"/>
    <s v="F007"/>
    <s v="Global Sistemas"/>
    <d v="2026-02-03T00:00:00"/>
    <d v="2026-02-13T00:00:00"/>
    <m/>
    <x v="1"/>
    <x v="0"/>
    <x v="2"/>
    <n v="10"/>
    <m/>
    <s v="Não se aplica"/>
    <n v="8812.66"/>
    <s v="Administrativo"/>
  </r>
  <r>
    <s v="D0026"/>
    <s v="C010"/>
    <s v="F005"/>
    <s v="Eco Office"/>
    <d v="2026-02-22T00:00:00"/>
    <d v="2026-03-09T00:00:00"/>
    <m/>
    <x v="1"/>
    <x v="1"/>
    <x v="2"/>
    <n v="15"/>
    <m/>
    <s v="Não se aplica"/>
    <n v="17066.95"/>
    <s v="Tecnologia"/>
  </r>
  <r>
    <s v="D0027"/>
    <s v="C019"/>
    <s v="F009"/>
    <s v="InfraMax"/>
    <d v="2025-02-08T00:00:00"/>
    <d v="2025-02-18T00:00:00"/>
    <m/>
    <x v="2"/>
    <x v="0"/>
    <x v="0"/>
    <n v="10"/>
    <n v="27"/>
    <s v="Não"/>
    <n v="11362.69"/>
    <s v="Operações"/>
  </r>
  <r>
    <s v="D0028"/>
    <s v="C017"/>
    <s v="F001"/>
    <s v="Alpha Serviços"/>
    <d v="2025-11-02T00:00:00"/>
    <d v="2025-11-04T00:00:00"/>
    <m/>
    <x v="1"/>
    <x v="3"/>
    <x v="0"/>
    <n v="2"/>
    <n v="20"/>
    <s v="Não"/>
    <n v="11894.56"/>
    <s v="Administrativo"/>
  </r>
  <r>
    <s v="D0029"/>
    <s v="C014"/>
    <s v="F001"/>
    <s v="Alpha Serviços"/>
    <d v="2025-04-06T00:00:00"/>
    <d v="2025-04-21T00:00:00"/>
    <m/>
    <x v="4"/>
    <x v="1"/>
    <x v="3"/>
    <n v="15"/>
    <m/>
    <s v=""/>
    <n v="22029.119999999999"/>
    <s v="Administrativo"/>
  </r>
  <r>
    <s v="D0030"/>
    <s v="C020"/>
    <s v="F008"/>
    <s v="Higieniza Mais"/>
    <d v="2025-06-18T00:00:00"/>
    <d v="2025-06-28T00:00:00"/>
    <m/>
    <x v="1"/>
    <x v="0"/>
    <x v="3"/>
    <n v="10"/>
    <m/>
    <s v=""/>
    <n v="4394.22"/>
    <s v="Administrativo"/>
  </r>
  <r>
    <s v="D0031"/>
    <s v="C009"/>
    <s v="F007"/>
    <s v="Global Sistemas"/>
    <d v="2025-12-08T00:00:00"/>
    <d v="2025-12-13T00:00:00"/>
    <d v="2025-12-21T00:00:00"/>
    <x v="2"/>
    <x v="2"/>
    <x v="1"/>
    <n v="5"/>
    <n v="13"/>
    <s v="Não"/>
    <n v="10980.19"/>
    <s v="Administrativo"/>
  </r>
  <r>
    <s v="D0032"/>
    <s v="C009"/>
    <s v="F007"/>
    <s v="Global Sistemas"/>
    <d v="2025-02-03T00:00:00"/>
    <d v="2025-02-05T00:00:00"/>
    <m/>
    <x v="1"/>
    <x v="3"/>
    <x v="3"/>
    <n v="2"/>
    <m/>
    <s v=""/>
    <n v="14571.51"/>
    <s v="Administrativo"/>
  </r>
  <r>
    <s v="D0033"/>
    <s v="C002"/>
    <s v="F010"/>
    <s v="Prime Soluções"/>
    <d v="2026-03-29T00:00:00"/>
    <d v="2026-04-08T00:00:00"/>
    <m/>
    <x v="0"/>
    <x v="0"/>
    <x v="0"/>
    <n v="10"/>
    <n v="29"/>
    <s v="Não"/>
    <n v="18192.79"/>
    <s v="Administrativo"/>
  </r>
  <r>
    <s v="D0034"/>
    <s v="C006"/>
    <s v="F002"/>
    <s v="Beta Facilities"/>
    <d v="2025-03-05T00:00:00"/>
    <d v="2025-03-10T00:00:00"/>
    <d v="2025-03-11T00:00:00"/>
    <x v="1"/>
    <x v="2"/>
    <x v="1"/>
    <n v="5"/>
    <n v="6"/>
    <s v="Não"/>
    <n v="7890.65"/>
    <s v="Tecnologia"/>
  </r>
  <r>
    <s v="D0035"/>
    <s v="C020"/>
    <s v="F008"/>
    <s v="Higieniza Mais"/>
    <d v="2026-04-15T00:00:00"/>
    <d v="2026-04-25T00:00:00"/>
    <d v="2026-04-27T00:00:00"/>
    <x v="2"/>
    <x v="0"/>
    <x v="1"/>
    <n v="10"/>
    <n v="12"/>
    <s v="Não"/>
    <n v="5494.92"/>
    <s v="Administrativo"/>
  </r>
  <r>
    <s v="D0036"/>
    <s v="C011"/>
    <s v="F004"/>
    <s v="Delta Segurança"/>
    <d v="2025-06-16T00:00:00"/>
    <d v="2025-06-21T00:00:00"/>
    <d v="2025-06-22T00:00:00"/>
    <x v="1"/>
    <x v="2"/>
    <x v="1"/>
    <n v="5"/>
    <n v="6"/>
    <s v="Não"/>
    <n v="18974.740000000002"/>
    <s v="Atendimento"/>
  </r>
  <r>
    <s v="D0037"/>
    <s v="C014"/>
    <s v="F001"/>
    <s v="Alpha Serviços"/>
    <d v="2025-06-07T00:00:00"/>
    <d v="2025-06-22T00:00:00"/>
    <m/>
    <x v="5"/>
    <x v="1"/>
    <x v="3"/>
    <n v="15"/>
    <m/>
    <s v=""/>
    <n v="24029.5"/>
    <s v="Administrativo"/>
  </r>
  <r>
    <s v="D0038"/>
    <s v="C005"/>
    <s v="F004"/>
    <s v="Delta Segurança"/>
    <d v="2025-07-21T00:00:00"/>
    <d v="2025-07-31T00:00:00"/>
    <m/>
    <x v="1"/>
    <x v="0"/>
    <x v="3"/>
    <n v="10"/>
    <m/>
    <s v=""/>
    <n v="14060.89"/>
    <s v="Operações"/>
  </r>
  <r>
    <s v="D0039"/>
    <s v="C016"/>
    <s v="F008"/>
    <s v="Higieniza Mais"/>
    <d v="2025-04-01T00:00:00"/>
    <d v="2025-04-06T00:00:00"/>
    <d v="2025-04-20T00:00:00"/>
    <x v="1"/>
    <x v="2"/>
    <x v="1"/>
    <n v="5"/>
    <n v="19"/>
    <s v="Não"/>
    <n v="10181.31"/>
    <s v="Contratos"/>
  </r>
  <r>
    <s v="D0040"/>
    <s v="C008"/>
    <s v="F006"/>
    <s v="Forte Logística"/>
    <d v="2025-05-18T00:00:00"/>
    <d v="2025-06-02T00:00:00"/>
    <d v="2025-05-27T00:00:00"/>
    <x v="0"/>
    <x v="1"/>
    <x v="1"/>
    <n v="15"/>
    <n v="9"/>
    <s v="Sim"/>
    <n v="14747.61"/>
    <s v="Operações"/>
  </r>
  <r>
    <s v="D0041"/>
    <s v="C018"/>
    <s v="F009"/>
    <s v="InfraMax"/>
    <d v="2026-02-07T00:00:00"/>
    <d v="2026-02-12T00:00:00"/>
    <d v="2026-02-21T00:00:00"/>
    <x v="5"/>
    <x v="2"/>
    <x v="1"/>
    <n v="5"/>
    <n v="14"/>
    <s v="Não"/>
    <n v="22888.62"/>
    <s v="Operações"/>
  </r>
  <r>
    <s v="D0042"/>
    <s v="C012"/>
    <s v="F006"/>
    <s v="Forte Logística"/>
    <d v="2026-06-07T00:00:00"/>
    <d v="2026-06-09T00:00:00"/>
    <m/>
    <x v="3"/>
    <x v="3"/>
    <x v="3"/>
    <n v="2"/>
    <m/>
    <s v=""/>
    <n v="24395.56"/>
    <s v="Tecnologia"/>
  </r>
  <r>
    <s v="D0043"/>
    <s v="C008"/>
    <s v="F006"/>
    <s v="Forte Logística"/>
    <d v="2025-10-18T00:00:00"/>
    <d v="2025-11-02T00:00:00"/>
    <m/>
    <x v="2"/>
    <x v="1"/>
    <x v="2"/>
    <n v="15"/>
    <m/>
    <s v="Não se aplica"/>
    <n v="17598.240000000002"/>
    <s v="Operações"/>
  </r>
  <r>
    <s v="D0044"/>
    <s v="C008"/>
    <s v="F006"/>
    <s v="Forte Logística"/>
    <d v="2026-04-14T00:00:00"/>
    <d v="2026-04-16T00:00:00"/>
    <m/>
    <x v="2"/>
    <x v="3"/>
    <x v="2"/>
    <n v="2"/>
    <m/>
    <s v="Não se aplica"/>
    <n v="9221.89"/>
    <s v="Operações"/>
  </r>
  <r>
    <s v="D0045"/>
    <s v="C005"/>
    <s v="F004"/>
    <s v="Delta Segurança"/>
    <d v="2025-06-29T00:00:00"/>
    <d v="2025-07-09T00:00:00"/>
    <d v="2025-07-05T00:00:00"/>
    <x v="1"/>
    <x v="0"/>
    <x v="1"/>
    <n v="10"/>
    <n v="6"/>
    <s v="Sim"/>
    <n v="9798.7800000000007"/>
    <s v="Operações"/>
  </r>
  <r>
    <s v="D0046"/>
    <s v="C020"/>
    <s v="F008"/>
    <s v="Higieniza Mais"/>
    <d v="2025-12-16T00:00:00"/>
    <d v="2025-12-31T00:00:00"/>
    <d v="2025-12-21T00:00:00"/>
    <x v="2"/>
    <x v="1"/>
    <x v="1"/>
    <n v="15"/>
    <n v="5"/>
    <s v="Sim"/>
    <n v="4054.71"/>
    <s v="Administrativo"/>
  </r>
  <r>
    <s v="D0047"/>
    <s v="C011"/>
    <s v="F004"/>
    <s v="Delta Segurança"/>
    <d v="2025-02-28T00:00:00"/>
    <d v="2025-03-10T00:00:00"/>
    <d v="2025-03-16T00:00:00"/>
    <x v="2"/>
    <x v="0"/>
    <x v="1"/>
    <n v="10"/>
    <n v="16"/>
    <s v="Não"/>
    <n v="20602.04"/>
    <s v="Atendimento"/>
  </r>
  <r>
    <s v="D0048"/>
    <s v="C001"/>
    <s v="F001"/>
    <s v="Alpha Serviços"/>
    <d v="2025-02-26T00:00:00"/>
    <d v="2025-03-08T00:00:00"/>
    <m/>
    <x v="1"/>
    <x v="0"/>
    <x v="3"/>
    <n v="10"/>
    <m/>
    <s v=""/>
    <n v="1643.33"/>
    <s v="Tecnologia"/>
  </r>
  <r>
    <s v="D0049"/>
    <s v="C007"/>
    <s v="F008"/>
    <s v="Higieniza Mais"/>
    <d v="2025-08-09T00:00:00"/>
    <d v="2025-08-24T00:00:00"/>
    <d v="2025-08-11T00:00:00"/>
    <x v="0"/>
    <x v="1"/>
    <x v="1"/>
    <n v="15"/>
    <n v="2"/>
    <s v="Sim"/>
    <n v="13809.23"/>
    <s v="Administrativo"/>
  </r>
  <r>
    <s v="D0050"/>
    <s v="C003"/>
    <s v="F004"/>
    <s v="Delta Segurança"/>
    <d v="2025-04-21T00:00:00"/>
    <d v="2025-04-23T00:00:00"/>
    <d v="2025-05-11T00:00:00"/>
    <x v="0"/>
    <x v="3"/>
    <x v="1"/>
    <n v="2"/>
    <n v="20"/>
    <s v="Não"/>
    <n v="23990.45"/>
    <s v="Atendimento"/>
  </r>
  <r>
    <s v="D0051"/>
    <s v="C009"/>
    <s v="F007"/>
    <s v="Global Sistemas"/>
    <d v="2026-01-19T00:00:00"/>
    <d v="2026-01-24T00:00:00"/>
    <d v="2026-02-08T00:00:00"/>
    <x v="4"/>
    <x v="2"/>
    <x v="1"/>
    <n v="5"/>
    <n v="20"/>
    <s v="Não"/>
    <n v="23739.81"/>
    <s v="Administrativo"/>
  </r>
  <r>
    <s v="D0052"/>
    <s v="C011"/>
    <s v="F004"/>
    <s v="Delta Segurança"/>
    <d v="2025-12-20T00:00:00"/>
    <d v="2026-01-04T00:00:00"/>
    <d v="2026-01-09T00:00:00"/>
    <x v="2"/>
    <x v="1"/>
    <x v="1"/>
    <n v="15"/>
    <n v="20"/>
    <s v="Não"/>
    <n v="12334.29"/>
    <s v="Atendimento"/>
  </r>
  <r>
    <s v="D0053"/>
    <s v="C007"/>
    <s v="F008"/>
    <s v="Higieniza Mais"/>
    <d v="2025-12-03T00:00:00"/>
    <d v="2025-12-18T00:00:00"/>
    <m/>
    <x v="0"/>
    <x v="1"/>
    <x v="0"/>
    <n v="15"/>
    <n v="19"/>
    <s v="Não"/>
    <n v="10990.34"/>
    <s v="Administrativo"/>
  </r>
  <r>
    <s v="D0054"/>
    <s v="C008"/>
    <s v="F006"/>
    <s v="Forte Logística"/>
    <d v="2026-06-11T00:00:00"/>
    <d v="2026-06-26T00:00:00"/>
    <d v="2026-06-18T00:00:00"/>
    <x v="2"/>
    <x v="1"/>
    <x v="1"/>
    <n v="15"/>
    <n v="7"/>
    <s v="Sim"/>
    <n v="8952.2000000000007"/>
    <s v="Operações"/>
  </r>
  <r>
    <s v="D0055"/>
    <s v="C005"/>
    <s v="F004"/>
    <s v="Delta Segurança"/>
    <d v="2026-03-17T00:00:00"/>
    <d v="2026-03-22T00:00:00"/>
    <m/>
    <x v="5"/>
    <x v="2"/>
    <x v="3"/>
    <n v="5"/>
    <m/>
    <s v=""/>
    <n v="12880.91"/>
    <s v="Operações"/>
  </r>
  <r>
    <s v="D0056"/>
    <s v="C007"/>
    <s v="F008"/>
    <s v="Higieniza Mais"/>
    <d v="2026-04-13T00:00:00"/>
    <d v="2026-04-15T00:00:00"/>
    <d v="2026-04-27T00:00:00"/>
    <x v="4"/>
    <x v="3"/>
    <x v="1"/>
    <n v="2"/>
    <n v="14"/>
    <s v="Não"/>
    <n v="6544.15"/>
    <s v="Administrativo"/>
  </r>
  <r>
    <s v="D0057"/>
    <s v="C006"/>
    <s v="F002"/>
    <s v="Beta Facilities"/>
    <d v="2025-05-26T00:00:00"/>
    <d v="2025-06-10T00:00:00"/>
    <d v="2025-06-10T00:00:00"/>
    <x v="0"/>
    <x v="1"/>
    <x v="1"/>
    <n v="15"/>
    <n v="15"/>
    <s v="Sim"/>
    <n v="17108.97"/>
    <s v="Tecnologia"/>
  </r>
  <r>
    <s v="D0058"/>
    <s v="C016"/>
    <s v="F008"/>
    <s v="Higieniza Mais"/>
    <d v="2026-05-12T00:00:00"/>
    <d v="2026-05-27T00:00:00"/>
    <d v="2026-05-18T00:00:00"/>
    <x v="0"/>
    <x v="1"/>
    <x v="1"/>
    <n v="15"/>
    <n v="6"/>
    <s v="Sim"/>
    <n v="16195.67"/>
    <s v="Contratos"/>
  </r>
  <r>
    <s v="D0059"/>
    <s v="C005"/>
    <s v="F004"/>
    <s v="Delta Segurança"/>
    <d v="2025-02-22T00:00:00"/>
    <d v="2025-02-27T00:00:00"/>
    <d v="2025-03-12T00:00:00"/>
    <x v="0"/>
    <x v="2"/>
    <x v="1"/>
    <n v="5"/>
    <n v="18"/>
    <s v="Não"/>
    <n v="15792.61"/>
    <s v="Operações"/>
  </r>
  <r>
    <s v="D0060"/>
    <s v="C015"/>
    <s v="F007"/>
    <s v="Global Sistemas"/>
    <d v="2025-06-12T00:00:00"/>
    <d v="2025-06-22T00:00:00"/>
    <m/>
    <x v="4"/>
    <x v="0"/>
    <x v="3"/>
    <n v="10"/>
    <m/>
    <s v=""/>
    <n v="23068.44"/>
    <s v="Administrativo"/>
  </r>
  <r>
    <s v="D0061"/>
    <s v="C019"/>
    <s v="F009"/>
    <s v="InfraMax"/>
    <d v="2025-10-31T00:00:00"/>
    <d v="2025-11-15T00:00:00"/>
    <m/>
    <x v="5"/>
    <x v="1"/>
    <x v="2"/>
    <n v="15"/>
    <m/>
    <s v="Não se aplica"/>
    <n v="21782.639999999999"/>
    <s v="Operações"/>
  </r>
  <r>
    <s v="D0062"/>
    <s v="C018"/>
    <s v="F009"/>
    <s v="InfraMax"/>
    <d v="2025-05-10T00:00:00"/>
    <d v="2025-05-15T00:00:00"/>
    <d v="2025-05-21T00:00:00"/>
    <x v="5"/>
    <x v="2"/>
    <x v="1"/>
    <n v="5"/>
    <n v="11"/>
    <s v="Não"/>
    <n v="21179.72"/>
    <s v="Operações"/>
  </r>
  <r>
    <s v="D0063"/>
    <s v="C006"/>
    <s v="F002"/>
    <s v="Beta Facilities"/>
    <d v="2026-05-17T00:00:00"/>
    <d v="2026-06-01T00:00:00"/>
    <m/>
    <x v="4"/>
    <x v="1"/>
    <x v="3"/>
    <n v="15"/>
    <m/>
    <s v=""/>
    <n v="2892.51"/>
    <s v="Tecnologia"/>
  </r>
  <r>
    <s v="D0064"/>
    <s v="C006"/>
    <s v="F002"/>
    <s v="Beta Facilities"/>
    <d v="2026-05-16T00:00:00"/>
    <d v="2026-05-18T00:00:00"/>
    <d v="2026-06-01T00:00:00"/>
    <x v="4"/>
    <x v="3"/>
    <x v="1"/>
    <n v="2"/>
    <n v="16"/>
    <s v="Não"/>
    <n v="15885.76"/>
    <s v="Tecnologia"/>
  </r>
  <r>
    <s v="D0065"/>
    <s v="C013"/>
    <s v="F003"/>
    <s v="Central Tech"/>
    <d v="2026-04-14T00:00:00"/>
    <d v="2026-04-29T00:00:00"/>
    <m/>
    <x v="0"/>
    <x v="1"/>
    <x v="3"/>
    <n v="15"/>
    <m/>
    <s v=""/>
    <n v="9110.94"/>
    <s v="Contratos"/>
  </r>
  <r>
    <s v="D0066"/>
    <s v="C003"/>
    <s v="F004"/>
    <s v="Delta Segurança"/>
    <d v="2026-01-24T00:00:00"/>
    <d v="2026-01-26T00:00:00"/>
    <m/>
    <x v="0"/>
    <x v="3"/>
    <x v="2"/>
    <n v="2"/>
    <m/>
    <s v="Não se aplica"/>
    <n v="2607.37"/>
    <s v="Atendimento"/>
  </r>
  <r>
    <s v="D0067"/>
    <s v="C014"/>
    <s v="F001"/>
    <s v="Alpha Serviços"/>
    <d v="2026-03-04T00:00:00"/>
    <d v="2026-03-09T00:00:00"/>
    <m/>
    <x v="0"/>
    <x v="2"/>
    <x v="0"/>
    <n v="5"/>
    <n v="25"/>
    <s v="Não"/>
    <n v="23536.25"/>
    <s v="Administrativo"/>
  </r>
  <r>
    <s v="D0068"/>
    <s v="C018"/>
    <s v="F009"/>
    <s v="InfraMax"/>
    <d v="2026-02-03T00:00:00"/>
    <d v="2026-02-18T00:00:00"/>
    <m/>
    <x v="4"/>
    <x v="1"/>
    <x v="0"/>
    <n v="15"/>
    <n v="22"/>
    <s v="Não"/>
    <n v="10731.89"/>
    <s v="Operações"/>
  </r>
  <r>
    <s v="D0069"/>
    <s v="C002"/>
    <s v="F010"/>
    <s v="Prime Soluções"/>
    <d v="2026-03-12T00:00:00"/>
    <d v="2026-03-22T00:00:00"/>
    <d v="2026-03-19T00:00:00"/>
    <x v="3"/>
    <x v="0"/>
    <x v="1"/>
    <n v="10"/>
    <n v="7"/>
    <s v="Sim"/>
    <n v="17289.02"/>
    <s v="Administrativo"/>
  </r>
  <r>
    <s v="D0070"/>
    <s v="C006"/>
    <s v="F002"/>
    <s v="Beta Facilities"/>
    <d v="2025-04-30T00:00:00"/>
    <d v="2025-05-05T00:00:00"/>
    <d v="2025-05-19T00:00:00"/>
    <x v="0"/>
    <x v="2"/>
    <x v="1"/>
    <n v="5"/>
    <n v="19"/>
    <s v="Não"/>
    <n v="13753.07"/>
    <s v="Tecnologia"/>
  </r>
  <r>
    <s v="D0071"/>
    <s v="C013"/>
    <s v="F003"/>
    <s v="Central Tech"/>
    <d v="2026-06-07T00:00:00"/>
    <d v="2026-06-17T00:00:00"/>
    <d v="2026-06-19T00:00:00"/>
    <x v="4"/>
    <x v="0"/>
    <x v="1"/>
    <n v="10"/>
    <n v="12"/>
    <s v="Não"/>
    <n v="24072.28"/>
    <s v="Contratos"/>
  </r>
  <r>
    <s v="D0072"/>
    <s v="C012"/>
    <s v="F006"/>
    <s v="Forte Logística"/>
    <d v="2026-05-22T00:00:00"/>
    <d v="2026-06-06T00:00:00"/>
    <m/>
    <x v="3"/>
    <x v="1"/>
    <x v="3"/>
    <n v="15"/>
    <m/>
    <s v=""/>
    <n v="599.77"/>
    <s v="Tecnologia"/>
  </r>
  <r>
    <s v="D0073"/>
    <s v="C009"/>
    <s v="F007"/>
    <s v="Global Sistemas"/>
    <d v="2026-06-21T00:00:00"/>
    <d v="2026-07-06T00:00:00"/>
    <m/>
    <x v="2"/>
    <x v="1"/>
    <x v="3"/>
    <n v="15"/>
    <m/>
    <s v=""/>
    <n v="20101.259999999998"/>
    <s v="Administrativo"/>
  </r>
  <r>
    <s v="D0074"/>
    <s v="C010"/>
    <s v="F005"/>
    <s v="Eco Office"/>
    <d v="2026-02-22T00:00:00"/>
    <d v="2026-02-24T00:00:00"/>
    <d v="2026-03-13T00:00:00"/>
    <x v="2"/>
    <x v="3"/>
    <x v="1"/>
    <n v="2"/>
    <n v="19"/>
    <s v="Não"/>
    <n v="12438.17"/>
    <s v="Tecnologia"/>
  </r>
  <r>
    <s v="D0075"/>
    <s v="C012"/>
    <s v="F006"/>
    <s v="Forte Logística"/>
    <d v="2025-04-18T00:00:00"/>
    <d v="2025-05-03T00:00:00"/>
    <d v="2025-04-29T00:00:00"/>
    <x v="1"/>
    <x v="1"/>
    <x v="1"/>
    <n v="15"/>
    <n v="11"/>
    <s v="Sim"/>
    <n v="9429.42"/>
    <s v="Tecnologia"/>
  </r>
  <r>
    <s v="D0076"/>
    <s v="C012"/>
    <s v="F006"/>
    <s v="Forte Logística"/>
    <d v="2025-02-07T00:00:00"/>
    <d v="2025-02-09T00:00:00"/>
    <d v="2025-02-23T00:00:00"/>
    <x v="5"/>
    <x v="3"/>
    <x v="1"/>
    <n v="2"/>
    <n v="16"/>
    <s v="Não"/>
    <n v="14959.94"/>
    <s v="Tecnologia"/>
  </r>
  <r>
    <s v="D0077"/>
    <s v="C011"/>
    <s v="F004"/>
    <s v="Delta Segurança"/>
    <d v="2025-03-15T00:00:00"/>
    <d v="2025-03-30T00:00:00"/>
    <d v="2025-03-24T00:00:00"/>
    <x v="2"/>
    <x v="1"/>
    <x v="1"/>
    <n v="15"/>
    <n v="9"/>
    <s v="Sim"/>
    <n v="11779.94"/>
    <s v="Atendimento"/>
  </r>
  <r>
    <s v="D0078"/>
    <s v="C001"/>
    <s v="F001"/>
    <s v="Alpha Serviços"/>
    <d v="2025-07-29T00:00:00"/>
    <d v="2025-07-31T00:00:00"/>
    <d v="2025-07-31T00:00:00"/>
    <x v="5"/>
    <x v="3"/>
    <x v="1"/>
    <n v="2"/>
    <n v="2"/>
    <s v="Sim"/>
    <n v="9050.31"/>
    <s v="Tecnologia"/>
  </r>
  <r>
    <s v="D0079"/>
    <s v="C011"/>
    <s v="F004"/>
    <s v="Delta Segurança"/>
    <d v="2025-07-18T00:00:00"/>
    <d v="2025-07-28T00:00:00"/>
    <d v="2025-08-07T00:00:00"/>
    <x v="1"/>
    <x v="0"/>
    <x v="1"/>
    <n v="10"/>
    <n v="20"/>
    <s v="Não"/>
    <n v="14435.23"/>
    <s v="Atendimento"/>
  </r>
  <r>
    <s v="D0080"/>
    <s v="C012"/>
    <s v="F006"/>
    <s v="Forte Logística"/>
    <d v="2025-04-17T00:00:00"/>
    <d v="2025-04-27T00:00:00"/>
    <d v="2025-05-05T00:00:00"/>
    <x v="5"/>
    <x v="0"/>
    <x v="1"/>
    <n v="10"/>
    <n v="18"/>
    <s v="Não"/>
    <n v="21448.94"/>
    <s v="Tecnologia"/>
  </r>
  <r>
    <s v="D0081"/>
    <s v="C020"/>
    <s v="F008"/>
    <s v="Higieniza Mais"/>
    <d v="2025-04-29T00:00:00"/>
    <d v="2025-05-01T00:00:00"/>
    <d v="2025-05-02T00:00:00"/>
    <x v="4"/>
    <x v="3"/>
    <x v="1"/>
    <n v="2"/>
    <n v="3"/>
    <s v="Não"/>
    <n v="4093.99"/>
    <s v="Administrativo"/>
  </r>
  <r>
    <s v="D0082"/>
    <s v="C010"/>
    <s v="F005"/>
    <s v="Eco Office"/>
    <d v="2025-06-05T00:00:00"/>
    <d v="2025-06-15T00:00:00"/>
    <m/>
    <x v="4"/>
    <x v="0"/>
    <x v="0"/>
    <n v="10"/>
    <n v="25"/>
    <s v="Não"/>
    <n v="4161.16"/>
    <s v="Tecnologia"/>
  </r>
  <r>
    <s v="D0083"/>
    <s v="C012"/>
    <s v="F006"/>
    <s v="Forte Logística"/>
    <d v="2025-01-19T00:00:00"/>
    <d v="2025-01-29T00:00:00"/>
    <d v="2025-02-05T00:00:00"/>
    <x v="1"/>
    <x v="0"/>
    <x v="1"/>
    <n v="10"/>
    <n v="17"/>
    <s v="Não"/>
    <n v="19426.5"/>
    <s v="Tecnologia"/>
  </r>
  <r>
    <s v="D0084"/>
    <s v="C012"/>
    <s v="F006"/>
    <s v="Forte Logística"/>
    <d v="2026-01-10T00:00:00"/>
    <d v="2026-01-12T00:00:00"/>
    <d v="2026-01-28T00:00:00"/>
    <x v="5"/>
    <x v="3"/>
    <x v="1"/>
    <n v="2"/>
    <n v="18"/>
    <s v="Não"/>
    <n v="20335.689999999999"/>
    <s v="Tecnologia"/>
  </r>
  <r>
    <s v="D0085"/>
    <s v="C006"/>
    <s v="F002"/>
    <s v="Beta Facilities"/>
    <d v="2025-03-20T00:00:00"/>
    <d v="2025-03-25T00:00:00"/>
    <d v="2025-03-21T00:00:00"/>
    <x v="1"/>
    <x v="2"/>
    <x v="1"/>
    <n v="5"/>
    <n v="1"/>
    <s v="Sim"/>
    <n v="17155.560000000001"/>
    <s v="Tecnologia"/>
  </r>
  <r>
    <s v="D0086"/>
    <s v="C015"/>
    <s v="F007"/>
    <s v="Global Sistemas"/>
    <d v="2026-03-22T00:00:00"/>
    <d v="2026-04-06T00:00:00"/>
    <m/>
    <x v="1"/>
    <x v="1"/>
    <x v="0"/>
    <n v="15"/>
    <n v="24"/>
    <s v="Não"/>
    <n v="4352.6499999999996"/>
    <s v="Administrativo"/>
  </r>
  <r>
    <s v="D0087"/>
    <s v="C019"/>
    <s v="F009"/>
    <s v="InfraMax"/>
    <d v="2025-10-03T00:00:00"/>
    <d v="2025-10-08T00:00:00"/>
    <d v="2025-10-11T00:00:00"/>
    <x v="0"/>
    <x v="2"/>
    <x v="1"/>
    <n v="5"/>
    <n v="8"/>
    <s v="Não"/>
    <n v="2851.16"/>
    <s v="Operações"/>
  </r>
  <r>
    <s v="D0088"/>
    <s v="C018"/>
    <s v="F009"/>
    <s v="InfraMax"/>
    <d v="2026-02-11T00:00:00"/>
    <d v="2026-02-26T00:00:00"/>
    <m/>
    <x v="0"/>
    <x v="1"/>
    <x v="3"/>
    <n v="15"/>
    <m/>
    <s v=""/>
    <n v="4513.87"/>
    <s v="Operações"/>
  </r>
  <r>
    <s v="D0089"/>
    <s v="C011"/>
    <s v="F004"/>
    <s v="Delta Segurança"/>
    <d v="2025-01-05T00:00:00"/>
    <d v="2025-01-15T00:00:00"/>
    <m/>
    <x v="4"/>
    <x v="0"/>
    <x v="2"/>
    <n v="10"/>
    <m/>
    <s v="Não se aplica"/>
    <n v="19630.599999999999"/>
    <s v="Atendimento"/>
  </r>
  <r>
    <s v="D0090"/>
    <s v="C012"/>
    <s v="F006"/>
    <s v="Forte Logística"/>
    <d v="2026-03-16T00:00:00"/>
    <d v="2026-03-18T00:00:00"/>
    <d v="2026-03-19T00:00:00"/>
    <x v="5"/>
    <x v="3"/>
    <x v="1"/>
    <n v="2"/>
    <n v="3"/>
    <s v="Não"/>
    <n v="11901.42"/>
    <s v="Tecnologia"/>
  </r>
  <r>
    <s v="D0091"/>
    <s v="C008"/>
    <s v="F006"/>
    <s v="Forte Logística"/>
    <d v="2026-02-19T00:00:00"/>
    <d v="2026-02-24T00:00:00"/>
    <m/>
    <x v="1"/>
    <x v="2"/>
    <x v="0"/>
    <n v="5"/>
    <n v="13"/>
    <s v="Não"/>
    <n v="12357.19"/>
    <s v="Operações"/>
  </r>
  <r>
    <s v="D0092"/>
    <s v="C001"/>
    <s v="F001"/>
    <s v="Alpha Serviços"/>
    <d v="2025-08-22T00:00:00"/>
    <d v="2025-08-24T00:00:00"/>
    <d v="2025-09-07T00:00:00"/>
    <x v="5"/>
    <x v="3"/>
    <x v="1"/>
    <n v="2"/>
    <n v="16"/>
    <s v="Não"/>
    <n v="20908.02"/>
    <s v="Tecnologia"/>
  </r>
  <r>
    <s v="D0093"/>
    <s v="C019"/>
    <s v="F009"/>
    <s v="InfraMax"/>
    <d v="2025-04-26T00:00:00"/>
    <d v="2025-05-06T00:00:00"/>
    <m/>
    <x v="0"/>
    <x v="0"/>
    <x v="2"/>
    <n v="10"/>
    <m/>
    <s v="Não se aplica"/>
    <n v="16178.12"/>
    <s v="Operações"/>
  </r>
  <r>
    <s v="D0094"/>
    <s v="C004"/>
    <s v="F003"/>
    <s v="Central Tech"/>
    <d v="2025-06-26T00:00:00"/>
    <d v="2025-07-01T00:00:00"/>
    <m/>
    <x v="3"/>
    <x v="2"/>
    <x v="0"/>
    <n v="5"/>
    <n v="15"/>
    <s v="Não"/>
    <n v="10450.459999999999"/>
    <s v="Atendimento"/>
  </r>
  <r>
    <s v="D0095"/>
    <s v="C001"/>
    <s v="F001"/>
    <s v="Alpha Serviços"/>
    <d v="2025-11-18T00:00:00"/>
    <d v="2025-11-23T00:00:00"/>
    <m/>
    <x v="2"/>
    <x v="2"/>
    <x v="0"/>
    <n v="5"/>
    <n v="18"/>
    <s v="Não"/>
    <n v="23246.65"/>
    <s v="Tecnologia"/>
  </r>
  <r>
    <s v="D0096"/>
    <s v="C005"/>
    <s v="F004"/>
    <s v="Delta Segurança"/>
    <d v="2025-05-07T00:00:00"/>
    <d v="2025-05-17T00:00:00"/>
    <d v="2025-05-27T00:00:00"/>
    <x v="3"/>
    <x v="0"/>
    <x v="1"/>
    <n v="10"/>
    <n v="20"/>
    <s v="Não"/>
    <n v="3639.26"/>
    <s v="Operações"/>
  </r>
  <r>
    <s v="D0097"/>
    <s v="C011"/>
    <s v="F004"/>
    <s v="Delta Segurança"/>
    <d v="2025-05-02T00:00:00"/>
    <d v="2025-05-12T00:00:00"/>
    <m/>
    <x v="2"/>
    <x v="0"/>
    <x v="0"/>
    <n v="10"/>
    <n v="24"/>
    <s v="Não"/>
    <n v="18626.419999999998"/>
    <s v="Atendimento"/>
  </r>
  <r>
    <s v="D0098"/>
    <s v="C015"/>
    <s v="F007"/>
    <s v="Global Sistemas"/>
    <d v="2025-01-07T00:00:00"/>
    <d v="2025-01-09T00:00:00"/>
    <m/>
    <x v="0"/>
    <x v="3"/>
    <x v="0"/>
    <n v="2"/>
    <n v="9"/>
    <s v="Não"/>
    <n v="10280.92"/>
    <s v="Administrativo"/>
  </r>
  <r>
    <s v="D0099"/>
    <s v="C015"/>
    <s v="F007"/>
    <s v="Global Sistemas"/>
    <d v="2025-07-21T00:00:00"/>
    <d v="2025-07-31T00:00:00"/>
    <d v="2025-07-27T00:00:00"/>
    <x v="3"/>
    <x v="0"/>
    <x v="1"/>
    <n v="10"/>
    <n v="6"/>
    <s v="Sim"/>
    <n v="24444.45"/>
    <s v="Administrativo"/>
  </r>
  <r>
    <s v="D0100"/>
    <s v="C018"/>
    <s v="F009"/>
    <s v="InfraMax"/>
    <d v="2025-02-03T00:00:00"/>
    <d v="2025-02-13T00:00:00"/>
    <m/>
    <x v="2"/>
    <x v="0"/>
    <x v="3"/>
    <n v="10"/>
    <m/>
    <s v=""/>
    <n v="24857.93"/>
    <s v="Operações"/>
  </r>
  <r>
    <s v="D0101"/>
    <s v="C011"/>
    <s v="F004"/>
    <s v="Delta Segurança"/>
    <d v="2025-05-09T00:00:00"/>
    <d v="2025-05-11T00:00:00"/>
    <d v="2025-05-18T00:00:00"/>
    <x v="1"/>
    <x v="3"/>
    <x v="1"/>
    <n v="2"/>
    <n v="9"/>
    <s v="Não"/>
    <n v="11282.89"/>
    <s v="Atendimento"/>
  </r>
  <r>
    <s v="D0102"/>
    <s v="C002"/>
    <s v="F010"/>
    <s v="Prime Soluções"/>
    <d v="2025-06-01T00:00:00"/>
    <d v="2025-06-03T00:00:00"/>
    <m/>
    <x v="3"/>
    <x v="3"/>
    <x v="3"/>
    <n v="2"/>
    <m/>
    <s v=""/>
    <n v="693.12"/>
    <s v="Administrativo"/>
  </r>
  <r>
    <s v="D0103"/>
    <s v="C010"/>
    <s v="F005"/>
    <s v="Eco Office"/>
    <d v="2026-04-12T00:00:00"/>
    <d v="2026-04-27T00:00:00"/>
    <d v="2026-04-15T00:00:00"/>
    <x v="0"/>
    <x v="1"/>
    <x v="1"/>
    <n v="15"/>
    <n v="3"/>
    <s v="Sim"/>
    <n v="9433.0400000000009"/>
    <s v="Tecnologia"/>
  </r>
  <r>
    <s v="D0104"/>
    <s v="C002"/>
    <s v="F010"/>
    <s v="Prime Soluções"/>
    <d v="2025-09-17T00:00:00"/>
    <d v="2025-09-22T00:00:00"/>
    <d v="2025-09-27T00:00:00"/>
    <x v="5"/>
    <x v="2"/>
    <x v="1"/>
    <n v="5"/>
    <n v="10"/>
    <s v="Não"/>
    <n v="3547.23"/>
    <s v="Administrativo"/>
  </r>
  <r>
    <s v="D0105"/>
    <s v="C008"/>
    <s v="F006"/>
    <s v="Forte Logística"/>
    <d v="2026-03-04T00:00:00"/>
    <d v="2026-03-06T00:00:00"/>
    <m/>
    <x v="2"/>
    <x v="3"/>
    <x v="2"/>
    <n v="2"/>
    <m/>
    <s v="Não se aplica"/>
    <n v="11301.01"/>
    <s v="Operações"/>
  </r>
  <r>
    <s v="D0106"/>
    <s v="C010"/>
    <s v="F005"/>
    <s v="Eco Office"/>
    <d v="2025-11-20T00:00:00"/>
    <d v="2025-11-30T00:00:00"/>
    <d v="2025-11-26T00:00:00"/>
    <x v="4"/>
    <x v="0"/>
    <x v="1"/>
    <n v="10"/>
    <n v="6"/>
    <s v="Sim"/>
    <n v="23838.2"/>
    <s v="Tecnologia"/>
  </r>
  <r>
    <s v="D0107"/>
    <s v="C001"/>
    <s v="F001"/>
    <s v="Alpha Serviços"/>
    <d v="2026-03-04T00:00:00"/>
    <d v="2026-03-19T00:00:00"/>
    <m/>
    <x v="5"/>
    <x v="1"/>
    <x v="3"/>
    <n v="15"/>
    <m/>
    <s v=""/>
    <n v="23790.34"/>
    <s v="Tecnologia"/>
  </r>
  <r>
    <s v="D0108"/>
    <s v="C004"/>
    <s v="F003"/>
    <s v="Central Tech"/>
    <d v="2025-04-26T00:00:00"/>
    <d v="2025-05-11T00:00:00"/>
    <d v="2025-05-05T00:00:00"/>
    <x v="2"/>
    <x v="1"/>
    <x v="1"/>
    <n v="15"/>
    <n v="9"/>
    <s v="Sim"/>
    <n v="10936.97"/>
    <s v="Atendimento"/>
  </r>
  <r>
    <s v="D0109"/>
    <s v="C016"/>
    <s v="F008"/>
    <s v="Higieniza Mais"/>
    <d v="2025-03-01T00:00:00"/>
    <d v="2025-03-16T00:00:00"/>
    <m/>
    <x v="2"/>
    <x v="1"/>
    <x v="2"/>
    <n v="15"/>
    <m/>
    <s v="Não se aplica"/>
    <n v="17702.099999999999"/>
    <s v="Contratos"/>
  </r>
  <r>
    <s v="D0110"/>
    <s v="C013"/>
    <s v="F003"/>
    <s v="Central Tech"/>
    <d v="2026-04-04T00:00:00"/>
    <d v="2026-04-06T00:00:00"/>
    <m/>
    <x v="5"/>
    <x v="3"/>
    <x v="3"/>
    <n v="2"/>
    <m/>
    <s v=""/>
    <n v="15941.43"/>
    <s v="Contratos"/>
  </r>
  <r>
    <s v="D0111"/>
    <s v="C017"/>
    <s v="F001"/>
    <s v="Alpha Serviços"/>
    <d v="2025-07-05T00:00:00"/>
    <d v="2025-07-20T00:00:00"/>
    <d v="2025-07-08T00:00:00"/>
    <x v="3"/>
    <x v="1"/>
    <x v="1"/>
    <n v="15"/>
    <n v="3"/>
    <s v="Sim"/>
    <n v="21739.31"/>
    <s v="Administrativo"/>
  </r>
  <r>
    <s v="D0112"/>
    <s v="C004"/>
    <s v="F003"/>
    <s v="Central Tech"/>
    <d v="2026-06-20T00:00:00"/>
    <d v="2026-06-30T00:00:00"/>
    <d v="2026-07-02T00:00:00"/>
    <x v="2"/>
    <x v="0"/>
    <x v="1"/>
    <n v="10"/>
    <n v="12"/>
    <s v="Não"/>
    <n v="9889.24"/>
    <s v="Atendimento"/>
  </r>
  <r>
    <s v="D0113"/>
    <s v="C001"/>
    <s v="F001"/>
    <s v="Alpha Serviços"/>
    <d v="2025-07-11T00:00:00"/>
    <d v="2025-07-13T00:00:00"/>
    <m/>
    <x v="2"/>
    <x v="3"/>
    <x v="2"/>
    <n v="2"/>
    <m/>
    <s v="Não se aplica"/>
    <n v="3868.74"/>
    <s v="Tecnologia"/>
  </r>
  <r>
    <s v="D0114"/>
    <s v="C020"/>
    <s v="F008"/>
    <s v="Higieniza Mais"/>
    <d v="2025-08-28T00:00:00"/>
    <d v="2025-08-30T00:00:00"/>
    <m/>
    <x v="3"/>
    <x v="3"/>
    <x v="2"/>
    <n v="2"/>
    <m/>
    <s v="Não se aplica"/>
    <n v="6223.88"/>
    <s v="Administrativo"/>
  </r>
  <r>
    <s v="D0115"/>
    <s v="C012"/>
    <s v="F006"/>
    <s v="Forte Logística"/>
    <d v="2025-06-15T00:00:00"/>
    <d v="2025-06-20T00:00:00"/>
    <d v="2025-06-23T00:00:00"/>
    <x v="3"/>
    <x v="2"/>
    <x v="1"/>
    <n v="5"/>
    <n v="8"/>
    <s v="Não"/>
    <n v="9732.0300000000007"/>
    <s v="Tecnologia"/>
  </r>
  <r>
    <s v="D0116"/>
    <s v="C004"/>
    <s v="F003"/>
    <s v="Central Tech"/>
    <d v="2025-11-11T00:00:00"/>
    <d v="2025-11-13T00:00:00"/>
    <d v="2025-11-12T00:00:00"/>
    <x v="2"/>
    <x v="3"/>
    <x v="1"/>
    <n v="2"/>
    <n v="1"/>
    <s v="Sim"/>
    <n v="8960.35"/>
    <s v="Atendimento"/>
  </r>
  <r>
    <s v="D0117"/>
    <s v="C017"/>
    <s v="F001"/>
    <s v="Alpha Serviços"/>
    <d v="2025-09-24T00:00:00"/>
    <d v="2025-10-04T00:00:00"/>
    <d v="2025-10-13T00:00:00"/>
    <x v="3"/>
    <x v="0"/>
    <x v="1"/>
    <n v="10"/>
    <n v="19"/>
    <s v="Não"/>
    <n v="24298.880000000001"/>
    <s v="Administrativo"/>
  </r>
  <r>
    <s v="D0118"/>
    <s v="C001"/>
    <s v="F001"/>
    <s v="Alpha Serviços"/>
    <d v="2026-02-12T00:00:00"/>
    <d v="2026-02-17T00:00:00"/>
    <d v="2026-02-28T00:00:00"/>
    <x v="4"/>
    <x v="2"/>
    <x v="1"/>
    <n v="5"/>
    <n v="16"/>
    <s v="Não"/>
    <n v="6311.26"/>
    <s v="Tecnologia"/>
  </r>
  <r>
    <s v="D0119"/>
    <s v="C011"/>
    <s v="F004"/>
    <s v="Delta Segurança"/>
    <d v="2025-03-30T00:00:00"/>
    <d v="2025-04-09T00:00:00"/>
    <d v="2025-04-12T00:00:00"/>
    <x v="0"/>
    <x v="0"/>
    <x v="1"/>
    <n v="10"/>
    <n v="13"/>
    <s v="Não"/>
    <n v="16535.849999999999"/>
    <s v="Atendimento"/>
  </r>
  <r>
    <s v="D0120"/>
    <s v="C012"/>
    <s v="F006"/>
    <s v="Forte Logística"/>
    <d v="2025-07-27T00:00:00"/>
    <d v="2025-07-29T00:00:00"/>
    <d v="2025-08-08T00:00:00"/>
    <x v="5"/>
    <x v="3"/>
    <x v="1"/>
    <n v="2"/>
    <n v="12"/>
    <s v="Não"/>
    <n v="11083.38"/>
    <s v="Tecnologia"/>
  </r>
  <r>
    <s v="D0121"/>
    <s v="C004"/>
    <s v="F003"/>
    <s v="Central Tech"/>
    <d v="2026-01-03T00:00:00"/>
    <d v="2026-01-08T00:00:00"/>
    <m/>
    <x v="5"/>
    <x v="2"/>
    <x v="2"/>
    <n v="5"/>
    <m/>
    <s v="Não se aplica"/>
    <n v="12252.23"/>
    <s v="Atendimento"/>
  </r>
  <r>
    <s v="D0122"/>
    <s v="C001"/>
    <s v="F001"/>
    <s v="Alpha Serviços"/>
    <d v="2025-05-05T00:00:00"/>
    <d v="2025-05-20T00:00:00"/>
    <m/>
    <x v="2"/>
    <x v="1"/>
    <x v="2"/>
    <n v="15"/>
    <m/>
    <s v="Não se aplica"/>
    <n v="5161.1099999999997"/>
    <s v="Tecnologia"/>
  </r>
  <r>
    <s v="D0123"/>
    <s v="C011"/>
    <s v="F004"/>
    <s v="Delta Segurança"/>
    <d v="2025-11-14T00:00:00"/>
    <d v="2025-11-24T00:00:00"/>
    <m/>
    <x v="5"/>
    <x v="0"/>
    <x v="3"/>
    <n v="10"/>
    <m/>
    <s v=""/>
    <n v="18464.82"/>
    <s v="Atendimento"/>
  </r>
  <r>
    <s v="D0124"/>
    <s v="C018"/>
    <s v="F009"/>
    <s v="InfraMax"/>
    <d v="2025-04-25T00:00:00"/>
    <d v="2025-04-27T00:00:00"/>
    <d v="2025-05-02T00:00:00"/>
    <x v="2"/>
    <x v="3"/>
    <x v="1"/>
    <n v="2"/>
    <n v="7"/>
    <s v="Não"/>
    <n v="4529.0600000000004"/>
    <s v="Operações"/>
  </r>
  <r>
    <s v="D0125"/>
    <s v="C019"/>
    <s v="F009"/>
    <s v="InfraMax"/>
    <d v="2025-01-26T00:00:00"/>
    <d v="2025-01-28T00:00:00"/>
    <m/>
    <x v="1"/>
    <x v="3"/>
    <x v="0"/>
    <n v="2"/>
    <n v="5"/>
    <s v="Não"/>
    <n v="8009.42"/>
    <s v="Operações"/>
  </r>
  <r>
    <s v="D0126"/>
    <s v="C010"/>
    <s v="F005"/>
    <s v="Eco Office"/>
    <d v="2025-08-03T00:00:00"/>
    <d v="2025-08-13T00:00:00"/>
    <m/>
    <x v="1"/>
    <x v="0"/>
    <x v="3"/>
    <n v="10"/>
    <m/>
    <s v=""/>
    <n v="12746.36"/>
    <s v="Tecnologia"/>
  </r>
  <r>
    <s v="D0127"/>
    <s v="C001"/>
    <s v="F001"/>
    <s v="Alpha Serviços"/>
    <d v="2026-01-24T00:00:00"/>
    <d v="2026-02-03T00:00:00"/>
    <m/>
    <x v="2"/>
    <x v="0"/>
    <x v="3"/>
    <n v="10"/>
    <m/>
    <s v=""/>
    <n v="10655.47"/>
    <s v="Tecnologia"/>
  </r>
  <r>
    <s v="D0128"/>
    <s v="C014"/>
    <s v="F001"/>
    <s v="Alpha Serviços"/>
    <d v="2026-05-28T00:00:00"/>
    <d v="2026-06-02T00:00:00"/>
    <m/>
    <x v="0"/>
    <x v="2"/>
    <x v="2"/>
    <n v="5"/>
    <m/>
    <s v="Não se aplica"/>
    <n v="15856.88"/>
    <s v="Administrativo"/>
  </r>
  <r>
    <s v="D0129"/>
    <s v="C017"/>
    <s v="F001"/>
    <s v="Alpha Serviços"/>
    <d v="2026-01-26T00:00:00"/>
    <d v="2026-02-05T00:00:00"/>
    <m/>
    <x v="2"/>
    <x v="0"/>
    <x v="0"/>
    <n v="10"/>
    <n v="29"/>
    <s v="Não"/>
    <n v="12681.85"/>
    <s v="Administrativo"/>
  </r>
  <r>
    <s v="D0130"/>
    <s v="C016"/>
    <s v="F008"/>
    <s v="Higieniza Mais"/>
    <d v="2026-06-29T00:00:00"/>
    <d v="2026-07-09T00:00:00"/>
    <d v="2026-07-09T00:00:00"/>
    <x v="1"/>
    <x v="0"/>
    <x v="1"/>
    <n v="10"/>
    <n v="10"/>
    <s v="Sim"/>
    <n v="23968.49"/>
    <s v="Contratos"/>
  </r>
  <r>
    <s v="D0131"/>
    <s v="C008"/>
    <s v="F006"/>
    <s v="Forte Logística"/>
    <d v="2025-06-13T00:00:00"/>
    <d v="2025-06-23T00:00:00"/>
    <m/>
    <x v="0"/>
    <x v="0"/>
    <x v="2"/>
    <n v="10"/>
    <m/>
    <s v="Não se aplica"/>
    <n v="24649.119999999999"/>
    <s v="Operações"/>
  </r>
  <r>
    <s v="D0132"/>
    <s v="C006"/>
    <s v="F002"/>
    <s v="Beta Facilities"/>
    <d v="2025-01-16T00:00:00"/>
    <d v="2025-01-31T00:00:00"/>
    <d v="2025-01-23T00:00:00"/>
    <x v="5"/>
    <x v="1"/>
    <x v="1"/>
    <n v="15"/>
    <n v="7"/>
    <s v="Sim"/>
    <n v="22685.54"/>
    <s v="Tecnologia"/>
  </r>
  <r>
    <s v="D0133"/>
    <s v="C006"/>
    <s v="F002"/>
    <s v="Beta Facilities"/>
    <d v="2025-09-23T00:00:00"/>
    <d v="2025-10-03T00:00:00"/>
    <m/>
    <x v="2"/>
    <x v="0"/>
    <x v="2"/>
    <n v="10"/>
    <m/>
    <s v="Não se aplica"/>
    <n v="13986.34"/>
    <s v="Tecnologia"/>
  </r>
  <r>
    <s v="D0134"/>
    <s v="C013"/>
    <s v="F003"/>
    <s v="Central Tech"/>
    <d v="2025-10-01T00:00:00"/>
    <d v="2025-10-06T00:00:00"/>
    <m/>
    <x v="4"/>
    <x v="2"/>
    <x v="2"/>
    <n v="5"/>
    <m/>
    <s v="Não se aplica"/>
    <n v="24738.83"/>
    <s v="Contratos"/>
  </r>
  <r>
    <s v="D0135"/>
    <s v="C017"/>
    <s v="F001"/>
    <s v="Alpha Serviços"/>
    <d v="2025-06-17T00:00:00"/>
    <d v="2025-07-02T00:00:00"/>
    <m/>
    <x v="1"/>
    <x v="1"/>
    <x v="2"/>
    <n v="15"/>
    <m/>
    <s v="Não se aplica"/>
    <n v="24231.63"/>
    <s v="Administrativo"/>
  </r>
  <r>
    <s v="D0136"/>
    <s v="C018"/>
    <s v="F009"/>
    <s v="InfraMax"/>
    <d v="2026-05-22T00:00:00"/>
    <d v="2026-05-27T00:00:00"/>
    <m/>
    <x v="3"/>
    <x v="2"/>
    <x v="2"/>
    <n v="5"/>
    <m/>
    <s v="Não se aplica"/>
    <n v="16395.2"/>
    <s v="Operações"/>
  </r>
  <r>
    <s v="D0137"/>
    <s v="C003"/>
    <s v="F004"/>
    <s v="Delta Segurança"/>
    <d v="2026-04-23T00:00:00"/>
    <d v="2026-04-25T00:00:00"/>
    <m/>
    <x v="2"/>
    <x v="3"/>
    <x v="3"/>
    <n v="2"/>
    <m/>
    <s v=""/>
    <n v="1358.63"/>
    <s v="Atendimento"/>
  </r>
  <r>
    <s v="D0138"/>
    <s v="C001"/>
    <s v="F001"/>
    <s v="Alpha Serviços"/>
    <d v="2025-07-29T00:00:00"/>
    <d v="2025-07-31T00:00:00"/>
    <m/>
    <x v="1"/>
    <x v="3"/>
    <x v="2"/>
    <n v="2"/>
    <m/>
    <s v="Não se aplica"/>
    <n v="15552.82"/>
    <s v="Tecnologia"/>
  </r>
  <r>
    <s v="D0139"/>
    <s v="C005"/>
    <s v="F004"/>
    <s v="Delta Segurança"/>
    <d v="2025-12-08T00:00:00"/>
    <d v="2025-12-10T00:00:00"/>
    <m/>
    <x v="0"/>
    <x v="3"/>
    <x v="2"/>
    <n v="2"/>
    <m/>
    <s v="Não se aplica"/>
    <n v="22288.41"/>
    <s v="Operações"/>
  </r>
  <r>
    <s v="D0140"/>
    <s v="C018"/>
    <s v="F009"/>
    <s v="InfraMax"/>
    <d v="2026-05-17T00:00:00"/>
    <d v="2026-05-19T00:00:00"/>
    <d v="2026-05-18T00:00:00"/>
    <x v="1"/>
    <x v="3"/>
    <x v="1"/>
    <n v="2"/>
    <n v="1"/>
    <s v="Sim"/>
    <n v="11742.23"/>
    <s v="Operações"/>
  </r>
  <r>
    <s v="D0141"/>
    <s v="C004"/>
    <s v="F003"/>
    <s v="Central Tech"/>
    <d v="2025-11-23T00:00:00"/>
    <d v="2025-12-08T00:00:00"/>
    <m/>
    <x v="3"/>
    <x v="1"/>
    <x v="2"/>
    <n v="15"/>
    <m/>
    <s v="Não se aplica"/>
    <n v="6979.69"/>
    <s v="Atendimento"/>
  </r>
  <r>
    <s v="D0142"/>
    <s v="C002"/>
    <s v="F010"/>
    <s v="Prime Soluções"/>
    <d v="2025-05-03T00:00:00"/>
    <d v="2025-05-18T00:00:00"/>
    <m/>
    <x v="3"/>
    <x v="1"/>
    <x v="2"/>
    <n v="15"/>
    <m/>
    <s v="Não se aplica"/>
    <n v="13642.62"/>
    <s v="Administrativo"/>
  </r>
  <r>
    <s v="D0143"/>
    <s v="C017"/>
    <s v="F001"/>
    <s v="Alpha Serviços"/>
    <d v="2026-03-26T00:00:00"/>
    <d v="2026-03-28T00:00:00"/>
    <d v="2026-03-29T00:00:00"/>
    <x v="4"/>
    <x v="3"/>
    <x v="1"/>
    <n v="2"/>
    <n v="3"/>
    <s v="Não"/>
    <n v="1593.62"/>
    <s v="Administrativo"/>
  </r>
  <r>
    <s v="D0144"/>
    <s v="C005"/>
    <s v="F004"/>
    <s v="Delta Segurança"/>
    <d v="2025-01-13T00:00:00"/>
    <d v="2025-01-18T00:00:00"/>
    <d v="2025-01-18T00:00:00"/>
    <x v="5"/>
    <x v="2"/>
    <x v="1"/>
    <n v="5"/>
    <n v="5"/>
    <s v="Sim"/>
    <n v="11602.7"/>
    <s v="Operações"/>
  </r>
  <r>
    <s v="D0145"/>
    <s v="C010"/>
    <s v="F005"/>
    <s v="Eco Office"/>
    <d v="2025-08-02T00:00:00"/>
    <d v="2025-08-04T00:00:00"/>
    <m/>
    <x v="0"/>
    <x v="3"/>
    <x v="0"/>
    <n v="2"/>
    <n v="22"/>
    <s v="Não"/>
    <n v="5013.84"/>
    <s v="Tecnologia"/>
  </r>
  <r>
    <s v="D0146"/>
    <s v="C010"/>
    <s v="F005"/>
    <s v="Eco Office"/>
    <d v="2026-04-06T00:00:00"/>
    <d v="2026-04-16T00:00:00"/>
    <d v="2026-04-09T00:00:00"/>
    <x v="5"/>
    <x v="0"/>
    <x v="1"/>
    <n v="10"/>
    <n v="3"/>
    <s v="Sim"/>
    <n v="22339.46"/>
    <s v="Tecnologia"/>
  </r>
  <r>
    <s v="D0147"/>
    <s v="C018"/>
    <s v="F009"/>
    <s v="InfraMax"/>
    <d v="2025-03-18T00:00:00"/>
    <d v="2025-03-20T00:00:00"/>
    <d v="2025-04-04T00:00:00"/>
    <x v="5"/>
    <x v="3"/>
    <x v="1"/>
    <n v="2"/>
    <n v="17"/>
    <s v="Não"/>
    <n v="17006.36"/>
    <s v="Operações"/>
  </r>
  <r>
    <s v="D0148"/>
    <s v="C008"/>
    <s v="F006"/>
    <s v="Forte Logística"/>
    <d v="2025-09-14T00:00:00"/>
    <d v="2025-09-16T00:00:00"/>
    <m/>
    <x v="2"/>
    <x v="3"/>
    <x v="2"/>
    <n v="2"/>
    <m/>
    <s v="Não se aplica"/>
    <n v="2508.23"/>
    <s v="Operações"/>
  </r>
  <r>
    <s v="D0149"/>
    <s v="C013"/>
    <s v="F003"/>
    <s v="Central Tech"/>
    <d v="2025-12-09T00:00:00"/>
    <d v="2025-12-11T00:00:00"/>
    <d v="2025-12-23T00:00:00"/>
    <x v="0"/>
    <x v="3"/>
    <x v="1"/>
    <n v="2"/>
    <n v="14"/>
    <s v="Não"/>
    <n v="8503.49"/>
    <s v="Contratos"/>
  </r>
  <r>
    <s v="D0150"/>
    <s v="C008"/>
    <s v="F006"/>
    <s v="Forte Logística"/>
    <d v="2025-01-11T00:00:00"/>
    <d v="2025-01-13T00:00:00"/>
    <m/>
    <x v="3"/>
    <x v="3"/>
    <x v="0"/>
    <n v="2"/>
    <n v="18"/>
    <s v="Não"/>
    <n v="21932.400000000001"/>
    <s v="Operações"/>
  </r>
  <r>
    <s v="D0151"/>
    <s v="C013"/>
    <s v="F003"/>
    <s v="Central Tech"/>
    <d v="2025-03-24T00:00:00"/>
    <d v="2025-03-29T00:00:00"/>
    <d v="2025-04-02T00:00:00"/>
    <x v="1"/>
    <x v="2"/>
    <x v="1"/>
    <n v="5"/>
    <n v="9"/>
    <s v="Não"/>
    <n v="14715.52"/>
    <s v="Contratos"/>
  </r>
  <r>
    <s v="D0152"/>
    <s v="C017"/>
    <s v="F001"/>
    <s v="Alpha Serviços"/>
    <d v="2025-05-19T00:00:00"/>
    <d v="2025-06-03T00:00:00"/>
    <m/>
    <x v="3"/>
    <x v="1"/>
    <x v="0"/>
    <n v="15"/>
    <n v="35"/>
    <s v="Não"/>
    <n v="16830.509999999998"/>
    <s v="Administrativo"/>
  </r>
  <r>
    <s v="D0153"/>
    <s v="C015"/>
    <s v="F007"/>
    <s v="Global Sistemas"/>
    <d v="2026-02-27T00:00:00"/>
    <d v="2026-03-04T00:00:00"/>
    <m/>
    <x v="2"/>
    <x v="2"/>
    <x v="0"/>
    <n v="5"/>
    <n v="12"/>
    <s v="Não"/>
    <n v="16850.61"/>
    <s v="Administrativo"/>
  </r>
  <r>
    <s v="D0154"/>
    <s v="C011"/>
    <s v="F004"/>
    <s v="Delta Segurança"/>
    <d v="2026-04-10T00:00:00"/>
    <d v="2026-04-12T00:00:00"/>
    <m/>
    <x v="2"/>
    <x v="3"/>
    <x v="0"/>
    <n v="2"/>
    <n v="20"/>
    <s v="Não"/>
    <n v="21396.61"/>
    <s v="Atendimento"/>
  </r>
  <r>
    <s v="D0155"/>
    <s v="C002"/>
    <s v="F010"/>
    <s v="Prime Soluções"/>
    <d v="2026-03-29T00:00:00"/>
    <d v="2026-04-13T00:00:00"/>
    <m/>
    <x v="0"/>
    <x v="1"/>
    <x v="3"/>
    <n v="15"/>
    <m/>
    <s v=""/>
    <n v="12916.46"/>
    <s v="Administrativo"/>
  </r>
  <r>
    <s v="D0156"/>
    <s v="C014"/>
    <s v="F001"/>
    <s v="Alpha Serviços"/>
    <d v="2026-04-10T00:00:00"/>
    <d v="2026-04-12T00:00:00"/>
    <d v="2026-04-28T00:00:00"/>
    <x v="5"/>
    <x v="3"/>
    <x v="1"/>
    <n v="2"/>
    <n v="18"/>
    <s v="Não"/>
    <n v="6425.76"/>
    <s v="Administrativo"/>
  </r>
  <r>
    <s v="D0157"/>
    <s v="C002"/>
    <s v="F010"/>
    <s v="Prime Soluções"/>
    <d v="2025-07-15T00:00:00"/>
    <d v="2025-07-25T00:00:00"/>
    <m/>
    <x v="3"/>
    <x v="0"/>
    <x v="2"/>
    <n v="10"/>
    <m/>
    <s v="Não se aplica"/>
    <n v="9949.83"/>
    <s v="Administrativo"/>
  </r>
  <r>
    <s v="D0158"/>
    <s v="C012"/>
    <s v="F006"/>
    <s v="Forte Logística"/>
    <d v="2025-12-12T00:00:00"/>
    <d v="2025-12-27T00:00:00"/>
    <m/>
    <x v="0"/>
    <x v="1"/>
    <x v="2"/>
    <n v="15"/>
    <m/>
    <s v="Não se aplica"/>
    <n v="23056.65"/>
    <s v="Tecnologia"/>
  </r>
  <r>
    <s v="D0159"/>
    <s v="C018"/>
    <s v="F009"/>
    <s v="InfraMax"/>
    <d v="2025-08-16T00:00:00"/>
    <d v="2025-08-26T00:00:00"/>
    <d v="2025-08-18T00:00:00"/>
    <x v="3"/>
    <x v="0"/>
    <x v="1"/>
    <n v="10"/>
    <n v="2"/>
    <s v="Sim"/>
    <n v="6805.62"/>
    <s v="Operações"/>
  </r>
  <r>
    <s v="D0160"/>
    <s v="C014"/>
    <s v="F001"/>
    <s v="Alpha Serviços"/>
    <d v="2026-05-10T00:00:00"/>
    <d v="2026-05-15T00:00:00"/>
    <d v="2026-05-28T00:00:00"/>
    <x v="4"/>
    <x v="2"/>
    <x v="1"/>
    <n v="5"/>
    <n v="18"/>
    <s v="Não"/>
    <n v="14846.18"/>
    <s v="Administrativo"/>
  </r>
  <r>
    <s v="D0161"/>
    <s v="C010"/>
    <s v="F005"/>
    <s v="Eco Office"/>
    <d v="2025-06-04T00:00:00"/>
    <d v="2025-06-06T00:00:00"/>
    <m/>
    <x v="0"/>
    <x v="3"/>
    <x v="3"/>
    <n v="2"/>
    <m/>
    <s v=""/>
    <n v="6743.04"/>
    <s v="Tecnologia"/>
  </r>
  <r>
    <s v="D0162"/>
    <s v="C015"/>
    <s v="F007"/>
    <s v="Global Sistemas"/>
    <d v="2025-08-21T00:00:00"/>
    <d v="2025-08-31T00:00:00"/>
    <m/>
    <x v="0"/>
    <x v="0"/>
    <x v="3"/>
    <n v="10"/>
    <m/>
    <s v=""/>
    <n v="7592.05"/>
    <s v="Administrativo"/>
  </r>
  <r>
    <s v="D0163"/>
    <s v="C003"/>
    <s v="F004"/>
    <s v="Delta Segurança"/>
    <d v="2026-05-12T00:00:00"/>
    <d v="2026-05-17T00:00:00"/>
    <d v="2026-05-30T00:00:00"/>
    <x v="1"/>
    <x v="2"/>
    <x v="1"/>
    <n v="5"/>
    <n v="18"/>
    <s v="Não"/>
    <n v="8905.34"/>
    <s v="Atendimento"/>
  </r>
  <r>
    <s v="D0164"/>
    <s v="C002"/>
    <s v="F010"/>
    <s v="Prime Soluções"/>
    <d v="2026-06-25T00:00:00"/>
    <d v="2026-06-27T00:00:00"/>
    <m/>
    <x v="1"/>
    <x v="3"/>
    <x v="2"/>
    <n v="2"/>
    <m/>
    <s v="Não se aplica"/>
    <n v="16792.28"/>
    <s v="Administrativo"/>
  </r>
  <r>
    <s v="D0165"/>
    <s v="C011"/>
    <s v="F004"/>
    <s v="Delta Segurança"/>
    <d v="2025-04-24T00:00:00"/>
    <d v="2025-05-09T00:00:00"/>
    <m/>
    <x v="5"/>
    <x v="1"/>
    <x v="2"/>
    <n v="15"/>
    <m/>
    <s v="Não se aplica"/>
    <n v="2922.31"/>
    <s v="Atendimento"/>
  </r>
  <r>
    <s v="D0166"/>
    <s v="C015"/>
    <s v="F007"/>
    <s v="Global Sistemas"/>
    <d v="2025-08-07T00:00:00"/>
    <d v="2025-08-22T00:00:00"/>
    <d v="2025-08-13T00:00:00"/>
    <x v="5"/>
    <x v="1"/>
    <x v="1"/>
    <n v="15"/>
    <n v="6"/>
    <s v="Sim"/>
    <n v="12476.33"/>
    <s v="Administrativo"/>
  </r>
  <r>
    <s v="D0167"/>
    <s v="C016"/>
    <s v="F008"/>
    <s v="Higieniza Mais"/>
    <d v="2025-08-01T00:00:00"/>
    <d v="2025-08-16T00:00:00"/>
    <m/>
    <x v="0"/>
    <x v="1"/>
    <x v="0"/>
    <n v="15"/>
    <n v="22"/>
    <s v="Não"/>
    <n v="18472.71"/>
    <s v="Contratos"/>
  </r>
  <r>
    <s v="D0168"/>
    <s v="C006"/>
    <s v="F002"/>
    <s v="Beta Facilities"/>
    <d v="2025-09-04T00:00:00"/>
    <d v="2025-09-09T00:00:00"/>
    <m/>
    <x v="3"/>
    <x v="2"/>
    <x v="3"/>
    <n v="5"/>
    <m/>
    <s v=""/>
    <n v="1572.02"/>
    <s v="Tecnologia"/>
  </r>
  <r>
    <s v="D0169"/>
    <s v="C009"/>
    <s v="F007"/>
    <s v="Global Sistemas"/>
    <d v="2025-04-16T00:00:00"/>
    <d v="2025-04-18T00:00:00"/>
    <m/>
    <x v="4"/>
    <x v="3"/>
    <x v="0"/>
    <n v="2"/>
    <n v="20"/>
    <s v="Não"/>
    <n v="16446.73"/>
    <s v="Administrativo"/>
  </r>
  <r>
    <s v="D0170"/>
    <s v="C010"/>
    <s v="F005"/>
    <s v="Eco Office"/>
    <d v="2025-06-05T00:00:00"/>
    <d v="2025-06-20T00:00:00"/>
    <m/>
    <x v="2"/>
    <x v="1"/>
    <x v="2"/>
    <n v="15"/>
    <m/>
    <s v="Não se aplica"/>
    <n v="11359.39"/>
    <s v="Tecnologia"/>
  </r>
  <r>
    <s v="D0171"/>
    <s v="C011"/>
    <s v="F004"/>
    <s v="Delta Segurança"/>
    <d v="2025-09-06T00:00:00"/>
    <d v="2025-09-08T00:00:00"/>
    <d v="2025-09-11T00:00:00"/>
    <x v="4"/>
    <x v="3"/>
    <x v="1"/>
    <n v="2"/>
    <n v="5"/>
    <s v="Não"/>
    <n v="6716.85"/>
    <s v="Atendimento"/>
  </r>
  <r>
    <s v="D0172"/>
    <s v="C016"/>
    <s v="F008"/>
    <s v="Higieniza Mais"/>
    <d v="2025-09-27T00:00:00"/>
    <d v="2025-10-02T00:00:00"/>
    <m/>
    <x v="3"/>
    <x v="2"/>
    <x v="0"/>
    <n v="5"/>
    <n v="21"/>
    <s v="Não"/>
    <n v="16808.16"/>
    <s v="Contratos"/>
  </r>
  <r>
    <s v="D0173"/>
    <s v="C008"/>
    <s v="F006"/>
    <s v="Forte Logística"/>
    <d v="2025-03-10T00:00:00"/>
    <d v="2025-03-15T00:00:00"/>
    <d v="2025-03-17T00:00:00"/>
    <x v="1"/>
    <x v="2"/>
    <x v="1"/>
    <n v="5"/>
    <n v="7"/>
    <s v="Não"/>
    <n v="12529.27"/>
    <s v="Operações"/>
  </r>
  <r>
    <s v="D0174"/>
    <s v="C002"/>
    <s v="F010"/>
    <s v="Prime Soluções"/>
    <d v="2025-12-12T00:00:00"/>
    <d v="2025-12-22T00:00:00"/>
    <d v="2025-12-18T00:00:00"/>
    <x v="0"/>
    <x v="0"/>
    <x v="1"/>
    <n v="10"/>
    <n v="6"/>
    <s v="Sim"/>
    <n v="4698.96"/>
    <s v="Administrativo"/>
  </r>
  <r>
    <s v="D0175"/>
    <s v="C010"/>
    <s v="F005"/>
    <s v="Eco Office"/>
    <d v="2026-04-09T00:00:00"/>
    <d v="2026-04-11T00:00:00"/>
    <m/>
    <x v="4"/>
    <x v="3"/>
    <x v="2"/>
    <n v="2"/>
    <m/>
    <s v="Não se aplica"/>
    <n v="6787.27"/>
    <s v="Tecnologia"/>
  </r>
  <r>
    <s v="D0176"/>
    <s v="C002"/>
    <s v="F010"/>
    <s v="Prime Soluções"/>
    <d v="2026-04-02T00:00:00"/>
    <d v="2026-04-07T00:00:00"/>
    <d v="2026-04-06T00:00:00"/>
    <x v="1"/>
    <x v="2"/>
    <x v="1"/>
    <n v="5"/>
    <n v="4"/>
    <s v="Sim"/>
    <n v="24042.39"/>
    <s v="Administrativo"/>
  </r>
  <r>
    <s v="D0177"/>
    <s v="C002"/>
    <s v="F010"/>
    <s v="Prime Soluções"/>
    <d v="2025-07-13T00:00:00"/>
    <d v="2025-07-23T00:00:00"/>
    <d v="2025-07-14T00:00:00"/>
    <x v="0"/>
    <x v="0"/>
    <x v="1"/>
    <n v="10"/>
    <n v="1"/>
    <s v="Sim"/>
    <n v="18363.93"/>
    <s v="Administrativo"/>
  </r>
  <r>
    <s v="D0178"/>
    <s v="C014"/>
    <s v="F001"/>
    <s v="Alpha Serviços"/>
    <d v="2025-01-24T00:00:00"/>
    <d v="2025-02-08T00:00:00"/>
    <m/>
    <x v="4"/>
    <x v="1"/>
    <x v="3"/>
    <n v="15"/>
    <m/>
    <s v=""/>
    <n v="18640.919999999998"/>
    <s v="Administrativo"/>
  </r>
  <r>
    <s v="D0179"/>
    <s v="C014"/>
    <s v="F001"/>
    <s v="Alpha Serviços"/>
    <d v="2025-06-30T00:00:00"/>
    <d v="2025-07-15T00:00:00"/>
    <d v="2025-07-09T00:00:00"/>
    <x v="0"/>
    <x v="1"/>
    <x v="1"/>
    <n v="15"/>
    <n v="9"/>
    <s v="Sim"/>
    <n v="15224.56"/>
    <s v="Administrativo"/>
  </r>
  <r>
    <s v="D0180"/>
    <s v="C001"/>
    <s v="F001"/>
    <s v="Alpha Serviços"/>
    <d v="2025-07-18T00:00:00"/>
    <d v="2025-08-02T00:00:00"/>
    <d v="2025-08-05T00:00:00"/>
    <x v="1"/>
    <x v="1"/>
    <x v="1"/>
    <n v="15"/>
    <n v="18"/>
    <s v="Não"/>
    <n v="1075.68"/>
    <s v="Tecnologia"/>
  </r>
  <r>
    <s v="D0181"/>
    <s v="C019"/>
    <s v="F009"/>
    <s v="InfraMax"/>
    <d v="2025-01-31T00:00:00"/>
    <d v="2025-02-05T00:00:00"/>
    <m/>
    <x v="2"/>
    <x v="2"/>
    <x v="0"/>
    <n v="5"/>
    <n v="13"/>
    <s v="Não"/>
    <n v="21395.59"/>
    <s v="Operações"/>
  </r>
  <r>
    <s v="D0182"/>
    <s v="C008"/>
    <s v="F006"/>
    <s v="Forte Logística"/>
    <d v="2025-07-21T00:00:00"/>
    <d v="2025-07-31T00:00:00"/>
    <d v="2025-08-04T00:00:00"/>
    <x v="0"/>
    <x v="0"/>
    <x v="1"/>
    <n v="10"/>
    <n v="14"/>
    <s v="Não"/>
    <n v="3902.55"/>
    <s v="Operações"/>
  </r>
  <r>
    <s v="D0183"/>
    <s v="C003"/>
    <s v="F004"/>
    <s v="Delta Segurança"/>
    <d v="2025-11-01T00:00:00"/>
    <d v="2025-11-11T00:00:00"/>
    <m/>
    <x v="2"/>
    <x v="0"/>
    <x v="2"/>
    <n v="10"/>
    <m/>
    <s v="Não se aplica"/>
    <n v="9292.1"/>
    <s v="Atendimento"/>
  </r>
  <r>
    <s v="D0184"/>
    <s v="C008"/>
    <s v="F006"/>
    <s v="Forte Logística"/>
    <d v="2025-05-14T00:00:00"/>
    <d v="2025-05-16T00:00:00"/>
    <m/>
    <x v="1"/>
    <x v="3"/>
    <x v="0"/>
    <n v="2"/>
    <n v="16"/>
    <s v="Não"/>
    <n v="14764.5"/>
    <s v="Operações"/>
  </r>
  <r>
    <s v="D0185"/>
    <s v="C009"/>
    <s v="F007"/>
    <s v="Global Sistemas"/>
    <d v="2026-02-20T00:00:00"/>
    <d v="2026-02-25T00:00:00"/>
    <m/>
    <x v="3"/>
    <x v="2"/>
    <x v="0"/>
    <n v="5"/>
    <n v="19"/>
    <s v="Não"/>
    <n v="21308.2"/>
    <s v="Administrativo"/>
  </r>
  <r>
    <s v="D0186"/>
    <s v="C009"/>
    <s v="F007"/>
    <s v="Global Sistemas"/>
    <d v="2026-02-19T00:00:00"/>
    <d v="2026-03-01T00:00:00"/>
    <d v="2026-02-22T00:00:00"/>
    <x v="5"/>
    <x v="0"/>
    <x v="1"/>
    <n v="10"/>
    <n v="3"/>
    <s v="Sim"/>
    <n v="22219.73"/>
    <s v="Administrativo"/>
  </r>
  <r>
    <s v="D0187"/>
    <s v="C015"/>
    <s v="F007"/>
    <s v="Global Sistemas"/>
    <d v="2025-07-08T00:00:00"/>
    <d v="2025-07-13T00:00:00"/>
    <d v="2025-07-14T00:00:00"/>
    <x v="1"/>
    <x v="2"/>
    <x v="1"/>
    <n v="5"/>
    <n v="6"/>
    <s v="Não"/>
    <n v="6369.89"/>
    <s v="Administrativo"/>
  </r>
  <r>
    <s v="D0188"/>
    <s v="C015"/>
    <s v="F007"/>
    <s v="Global Sistemas"/>
    <d v="2025-05-08T00:00:00"/>
    <d v="2025-05-10T00:00:00"/>
    <m/>
    <x v="5"/>
    <x v="3"/>
    <x v="3"/>
    <n v="2"/>
    <m/>
    <s v=""/>
    <n v="20555.79"/>
    <s v="Administrativo"/>
  </r>
  <r>
    <s v="D0189"/>
    <s v="C006"/>
    <s v="F002"/>
    <s v="Beta Facilities"/>
    <d v="2025-01-07T00:00:00"/>
    <d v="2025-01-22T00:00:00"/>
    <m/>
    <x v="2"/>
    <x v="1"/>
    <x v="0"/>
    <n v="15"/>
    <n v="26"/>
    <s v="Não"/>
    <n v="2826.43"/>
    <s v="Tecnologia"/>
  </r>
  <r>
    <s v="D0190"/>
    <s v="C019"/>
    <s v="F009"/>
    <s v="InfraMax"/>
    <d v="2025-06-02T00:00:00"/>
    <d v="2025-06-07T00:00:00"/>
    <m/>
    <x v="0"/>
    <x v="2"/>
    <x v="2"/>
    <n v="5"/>
    <m/>
    <s v="Não se aplica"/>
    <n v="3924.43"/>
    <s v="Operações"/>
  </r>
  <r>
    <s v="D0191"/>
    <s v="C004"/>
    <s v="F003"/>
    <s v="Central Tech"/>
    <d v="2026-05-16T00:00:00"/>
    <d v="2026-05-18T00:00:00"/>
    <m/>
    <x v="2"/>
    <x v="3"/>
    <x v="2"/>
    <n v="2"/>
    <m/>
    <s v="Não se aplica"/>
    <n v="3892.86"/>
    <s v="Atendimento"/>
  </r>
  <r>
    <s v="D0192"/>
    <s v="C010"/>
    <s v="F005"/>
    <s v="Eco Office"/>
    <d v="2025-06-05T00:00:00"/>
    <d v="2025-06-07T00:00:00"/>
    <m/>
    <x v="1"/>
    <x v="3"/>
    <x v="2"/>
    <n v="2"/>
    <m/>
    <s v="Não se aplica"/>
    <n v="8286.35"/>
    <s v="Tecnologia"/>
  </r>
  <r>
    <s v="D0193"/>
    <s v="C009"/>
    <s v="F007"/>
    <s v="Global Sistemas"/>
    <d v="2026-01-24T00:00:00"/>
    <d v="2026-01-29T00:00:00"/>
    <d v="2026-02-05T00:00:00"/>
    <x v="1"/>
    <x v="2"/>
    <x v="1"/>
    <n v="5"/>
    <n v="12"/>
    <s v="Não"/>
    <n v="7375.38"/>
    <s v="Administrativo"/>
  </r>
  <r>
    <s v="D0194"/>
    <s v="C011"/>
    <s v="F004"/>
    <s v="Delta Segurança"/>
    <d v="2026-02-19T00:00:00"/>
    <d v="2026-02-24T00:00:00"/>
    <d v="2026-02-26T00:00:00"/>
    <x v="0"/>
    <x v="2"/>
    <x v="1"/>
    <n v="5"/>
    <n v="7"/>
    <s v="Não"/>
    <n v="11295.97"/>
    <s v="Atendimento"/>
  </r>
  <r>
    <s v="D0195"/>
    <s v="C001"/>
    <s v="F001"/>
    <s v="Alpha Serviços"/>
    <d v="2025-12-11T00:00:00"/>
    <d v="2025-12-13T00:00:00"/>
    <d v="2025-12-23T00:00:00"/>
    <x v="3"/>
    <x v="3"/>
    <x v="1"/>
    <n v="2"/>
    <n v="12"/>
    <s v="Não"/>
    <n v="14286.95"/>
    <s v="Tecnologia"/>
  </r>
  <r>
    <s v="D0196"/>
    <s v="C017"/>
    <s v="F001"/>
    <s v="Alpha Serviços"/>
    <d v="2026-03-06T00:00:00"/>
    <d v="2026-03-21T00:00:00"/>
    <m/>
    <x v="2"/>
    <x v="1"/>
    <x v="0"/>
    <n v="15"/>
    <n v="29"/>
    <s v="Não"/>
    <n v="15361.52"/>
    <s v="Administrativo"/>
  </r>
  <r>
    <s v="D0197"/>
    <s v="C020"/>
    <s v="F008"/>
    <s v="Higieniza Mais"/>
    <d v="2025-08-26T00:00:00"/>
    <d v="2025-08-28T00:00:00"/>
    <d v="2025-09-11T00:00:00"/>
    <x v="0"/>
    <x v="3"/>
    <x v="1"/>
    <n v="2"/>
    <n v="16"/>
    <s v="Não"/>
    <n v="10179.299999999999"/>
    <s v="Administrativo"/>
  </r>
  <r>
    <s v="D0198"/>
    <s v="C001"/>
    <s v="F001"/>
    <s v="Alpha Serviços"/>
    <d v="2025-10-20T00:00:00"/>
    <d v="2025-10-30T00:00:00"/>
    <m/>
    <x v="0"/>
    <x v="0"/>
    <x v="0"/>
    <n v="10"/>
    <n v="12"/>
    <s v="Não"/>
    <n v="16530.05"/>
    <s v="Tecnologia"/>
  </r>
  <r>
    <s v="D0199"/>
    <s v="C013"/>
    <s v="F003"/>
    <s v="Central Tech"/>
    <d v="2025-12-17T00:00:00"/>
    <d v="2025-12-27T00:00:00"/>
    <m/>
    <x v="1"/>
    <x v="0"/>
    <x v="3"/>
    <n v="10"/>
    <m/>
    <s v=""/>
    <n v="8405.91"/>
    <s v="Contratos"/>
  </r>
  <r>
    <s v="D0200"/>
    <s v="C010"/>
    <s v="F005"/>
    <s v="Eco Office"/>
    <d v="2025-04-05T00:00:00"/>
    <d v="2025-04-10T00:00:00"/>
    <d v="2025-04-06T00:00:00"/>
    <x v="0"/>
    <x v="2"/>
    <x v="1"/>
    <n v="5"/>
    <n v="1"/>
    <s v="Sim"/>
    <n v="13407.29"/>
    <s v="Tecnologia"/>
  </r>
  <r>
    <s v="D0201"/>
    <s v="C008"/>
    <s v="F006"/>
    <s v="Forte Logística"/>
    <d v="2026-03-23T00:00:00"/>
    <d v="2026-03-28T00:00:00"/>
    <d v="2026-04-04T00:00:00"/>
    <x v="5"/>
    <x v="2"/>
    <x v="1"/>
    <n v="5"/>
    <n v="12"/>
    <s v="Não"/>
    <n v="19958.72"/>
    <s v="Operações"/>
  </r>
  <r>
    <s v="D0202"/>
    <s v="C014"/>
    <s v="F001"/>
    <s v="Alpha Serviços"/>
    <d v="2026-06-29T00:00:00"/>
    <d v="2026-07-01T00:00:00"/>
    <d v="2026-07-02T00:00:00"/>
    <x v="5"/>
    <x v="3"/>
    <x v="1"/>
    <n v="2"/>
    <n v="3"/>
    <s v="Não"/>
    <n v="15818.97"/>
    <s v="Administrativo"/>
  </r>
  <r>
    <s v="D0203"/>
    <s v="C017"/>
    <s v="F001"/>
    <s v="Alpha Serviços"/>
    <d v="2025-01-05T00:00:00"/>
    <d v="2025-01-20T00:00:00"/>
    <m/>
    <x v="2"/>
    <x v="1"/>
    <x v="0"/>
    <n v="15"/>
    <n v="18"/>
    <s v="Não"/>
    <n v="23046.75"/>
    <s v="Administrativo"/>
  </r>
  <r>
    <s v="D0204"/>
    <s v="C002"/>
    <s v="F010"/>
    <s v="Prime Soluções"/>
    <d v="2025-03-28T00:00:00"/>
    <d v="2025-04-02T00:00:00"/>
    <m/>
    <x v="0"/>
    <x v="2"/>
    <x v="2"/>
    <n v="5"/>
    <m/>
    <s v="Não se aplica"/>
    <n v="19700.48"/>
    <s v="Administrativo"/>
  </r>
  <r>
    <s v="D0205"/>
    <s v="C011"/>
    <s v="F004"/>
    <s v="Delta Segurança"/>
    <d v="2025-04-16T00:00:00"/>
    <d v="2025-04-18T00:00:00"/>
    <m/>
    <x v="1"/>
    <x v="3"/>
    <x v="3"/>
    <n v="2"/>
    <m/>
    <s v=""/>
    <n v="22584.21"/>
    <s v="Atendimento"/>
  </r>
  <r>
    <s v="D0206"/>
    <s v="C016"/>
    <s v="F008"/>
    <s v="Higieniza Mais"/>
    <d v="2026-03-18T00:00:00"/>
    <d v="2026-03-28T00:00:00"/>
    <m/>
    <x v="5"/>
    <x v="0"/>
    <x v="3"/>
    <n v="10"/>
    <m/>
    <s v=""/>
    <n v="13886.2"/>
    <s v="Contratos"/>
  </r>
  <r>
    <s v="D0207"/>
    <s v="C019"/>
    <s v="F009"/>
    <s v="InfraMax"/>
    <d v="2025-05-10T00:00:00"/>
    <d v="2025-05-20T00:00:00"/>
    <m/>
    <x v="4"/>
    <x v="0"/>
    <x v="2"/>
    <n v="10"/>
    <m/>
    <s v="Não se aplica"/>
    <n v="23581.43"/>
    <s v="Operações"/>
  </r>
  <r>
    <s v="D0208"/>
    <s v="C018"/>
    <s v="F009"/>
    <s v="InfraMax"/>
    <d v="2025-09-18T00:00:00"/>
    <d v="2025-10-03T00:00:00"/>
    <d v="2025-09-24T00:00:00"/>
    <x v="4"/>
    <x v="1"/>
    <x v="1"/>
    <n v="15"/>
    <n v="6"/>
    <s v="Sim"/>
    <n v="13624.75"/>
    <s v="Operações"/>
  </r>
  <r>
    <s v="D0209"/>
    <s v="C012"/>
    <s v="F006"/>
    <s v="Forte Logística"/>
    <d v="2025-02-08T00:00:00"/>
    <d v="2025-02-10T00:00:00"/>
    <m/>
    <x v="5"/>
    <x v="3"/>
    <x v="3"/>
    <n v="2"/>
    <m/>
    <s v=""/>
    <n v="980.48"/>
    <s v="Tecnologia"/>
  </r>
  <r>
    <s v="D0210"/>
    <s v="C013"/>
    <s v="F003"/>
    <s v="Central Tech"/>
    <d v="2026-05-22T00:00:00"/>
    <d v="2026-05-27T00:00:00"/>
    <d v="2026-05-25T00:00:00"/>
    <x v="0"/>
    <x v="2"/>
    <x v="1"/>
    <n v="5"/>
    <n v="3"/>
    <s v="Sim"/>
    <n v="11873.34"/>
    <s v="Contratos"/>
  </r>
  <r>
    <s v="D0211"/>
    <s v="C003"/>
    <s v="F004"/>
    <s v="Delta Segurança"/>
    <d v="2026-05-01T00:00:00"/>
    <d v="2026-05-06T00:00:00"/>
    <m/>
    <x v="2"/>
    <x v="2"/>
    <x v="2"/>
    <n v="5"/>
    <m/>
    <s v="Não se aplica"/>
    <n v="12057.14"/>
    <s v="Atendimento"/>
  </r>
  <r>
    <s v="D0212"/>
    <s v="C004"/>
    <s v="F003"/>
    <s v="Central Tech"/>
    <d v="2025-03-17T00:00:00"/>
    <d v="2025-04-01T00:00:00"/>
    <d v="2025-03-30T00:00:00"/>
    <x v="0"/>
    <x v="1"/>
    <x v="1"/>
    <n v="15"/>
    <n v="13"/>
    <s v="Sim"/>
    <n v="8172.29"/>
    <s v="Atendimento"/>
  </r>
  <r>
    <s v="D0213"/>
    <s v="C004"/>
    <s v="F003"/>
    <s v="Central Tech"/>
    <d v="2026-06-02T00:00:00"/>
    <d v="2026-06-04T00:00:00"/>
    <d v="2026-06-11T00:00:00"/>
    <x v="4"/>
    <x v="3"/>
    <x v="1"/>
    <n v="2"/>
    <n v="9"/>
    <s v="Não"/>
    <n v="8101"/>
    <s v="Atendimento"/>
  </r>
  <r>
    <s v="D0214"/>
    <s v="C006"/>
    <s v="F002"/>
    <s v="Beta Facilities"/>
    <d v="2025-11-29T00:00:00"/>
    <d v="2025-12-04T00:00:00"/>
    <m/>
    <x v="1"/>
    <x v="2"/>
    <x v="2"/>
    <n v="5"/>
    <m/>
    <s v="Não se aplica"/>
    <n v="12914.93"/>
    <s v="Tecnologia"/>
  </r>
  <r>
    <s v="D0215"/>
    <s v="C013"/>
    <s v="F003"/>
    <s v="Central Tech"/>
    <d v="2025-05-02T00:00:00"/>
    <d v="2025-05-17T00:00:00"/>
    <m/>
    <x v="2"/>
    <x v="1"/>
    <x v="0"/>
    <n v="15"/>
    <n v="26"/>
    <s v="Não"/>
    <n v="17945.07"/>
    <s v="Contratos"/>
  </r>
  <r>
    <s v="D0216"/>
    <s v="C007"/>
    <s v="F008"/>
    <s v="Higieniza Mais"/>
    <d v="2025-07-09T00:00:00"/>
    <d v="2025-07-19T00:00:00"/>
    <m/>
    <x v="0"/>
    <x v="0"/>
    <x v="3"/>
    <n v="10"/>
    <m/>
    <s v=""/>
    <n v="3076.06"/>
    <s v="Administrativo"/>
  </r>
  <r>
    <s v="D0217"/>
    <s v="C004"/>
    <s v="F003"/>
    <s v="Central Tech"/>
    <d v="2025-03-21T00:00:00"/>
    <d v="2025-03-26T00:00:00"/>
    <d v="2025-03-23T00:00:00"/>
    <x v="1"/>
    <x v="2"/>
    <x v="1"/>
    <n v="5"/>
    <n v="2"/>
    <s v="Sim"/>
    <n v="17638.39"/>
    <s v="Atendimento"/>
  </r>
  <r>
    <s v="D0218"/>
    <s v="C019"/>
    <s v="F009"/>
    <s v="InfraMax"/>
    <d v="2025-08-22T00:00:00"/>
    <d v="2025-08-27T00:00:00"/>
    <d v="2025-09-08T00:00:00"/>
    <x v="4"/>
    <x v="2"/>
    <x v="1"/>
    <n v="5"/>
    <n v="17"/>
    <s v="Não"/>
    <n v="7164"/>
    <s v="Operações"/>
  </r>
  <r>
    <s v="D0219"/>
    <s v="C011"/>
    <s v="F004"/>
    <s v="Delta Segurança"/>
    <d v="2026-02-27T00:00:00"/>
    <d v="2026-03-09T00:00:00"/>
    <m/>
    <x v="2"/>
    <x v="0"/>
    <x v="0"/>
    <n v="10"/>
    <n v="20"/>
    <s v="Não"/>
    <n v="7447.87"/>
    <s v="Atendimento"/>
  </r>
  <r>
    <s v="D0220"/>
    <s v="C005"/>
    <s v="F004"/>
    <s v="Delta Segurança"/>
    <d v="2025-11-06T00:00:00"/>
    <d v="2025-11-08T00:00:00"/>
    <m/>
    <x v="4"/>
    <x v="3"/>
    <x v="3"/>
    <n v="2"/>
    <m/>
    <s v=""/>
    <n v="9526.6299999999992"/>
    <s v="Operações"/>
  </r>
  <r>
    <s v="D0221"/>
    <s v="C006"/>
    <s v="F002"/>
    <s v="Beta Facilities"/>
    <d v="2025-01-28T00:00:00"/>
    <d v="2025-02-02T00:00:00"/>
    <m/>
    <x v="4"/>
    <x v="2"/>
    <x v="2"/>
    <n v="5"/>
    <m/>
    <s v="Não se aplica"/>
    <n v="10359.620000000001"/>
    <s v="Tecnologia"/>
  </r>
  <r>
    <s v="D0222"/>
    <s v="C014"/>
    <s v="F001"/>
    <s v="Alpha Serviços"/>
    <d v="2025-02-16T00:00:00"/>
    <d v="2025-02-18T00:00:00"/>
    <d v="2025-03-07T00:00:00"/>
    <x v="0"/>
    <x v="3"/>
    <x v="1"/>
    <n v="2"/>
    <n v="19"/>
    <s v="Não"/>
    <n v="3350.06"/>
    <s v="Administrativo"/>
  </r>
  <r>
    <s v="D0223"/>
    <s v="C003"/>
    <s v="F004"/>
    <s v="Delta Segurança"/>
    <d v="2025-02-25T00:00:00"/>
    <d v="2025-03-07T00:00:00"/>
    <m/>
    <x v="3"/>
    <x v="0"/>
    <x v="2"/>
    <n v="10"/>
    <m/>
    <s v="Não se aplica"/>
    <n v="15185.47"/>
    <s v="Atendimento"/>
  </r>
  <r>
    <s v="D0224"/>
    <s v="C005"/>
    <s v="F004"/>
    <s v="Delta Segurança"/>
    <d v="2025-01-13T00:00:00"/>
    <d v="2025-01-28T00:00:00"/>
    <d v="2025-01-25T00:00:00"/>
    <x v="5"/>
    <x v="1"/>
    <x v="1"/>
    <n v="15"/>
    <n v="12"/>
    <s v="Sim"/>
    <n v="18366.84"/>
    <s v="Operações"/>
  </r>
  <r>
    <s v="D0225"/>
    <s v="C014"/>
    <s v="F001"/>
    <s v="Alpha Serviços"/>
    <d v="2026-05-29T00:00:00"/>
    <d v="2026-06-08T00:00:00"/>
    <m/>
    <x v="3"/>
    <x v="0"/>
    <x v="2"/>
    <n v="10"/>
    <m/>
    <s v="Não se aplica"/>
    <n v="23312"/>
    <s v="Administrativo"/>
  </r>
  <r>
    <s v="D0226"/>
    <s v="C001"/>
    <s v="F001"/>
    <s v="Alpha Serviços"/>
    <d v="2025-02-18T00:00:00"/>
    <d v="2025-02-20T00:00:00"/>
    <m/>
    <x v="1"/>
    <x v="3"/>
    <x v="0"/>
    <n v="2"/>
    <n v="13"/>
    <s v="Não"/>
    <n v="5756.06"/>
    <s v="Tecnologia"/>
  </r>
  <r>
    <s v="D0227"/>
    <s v="C014"/>
    <s v="F001"/>
    <s v="Alpha Serviços"/>
    <d v="2025-04-22T00:00:00"/>
    <d v="2025-04-24T00:00:00"/>
    <d v="2025-04-24T00:00:00"/>
    <x v="1"/>
    <x v="3"/>
    <x v="1"/>
    <n v="2"/>
    <n v="2"/>
    <s v="Sim"/>
    <n v="5344.91"/>
    <s v="Administrativo"/>
  </r>
  <r>
    <s v="D0228"/>
    <s v="C013"/>
    <s v="F003"/>
    <s v="Central Tech"/>
    <d v="2025-10-11T00:00:00"/>
    <d v="2025-10-26T00:00:00"/>
    <m/>
    <x v="4"/>
    <x v="1"/>
    <x v="3"/>
    <n v="15"/>
    <m/>
    <s v=""/>
    <n v="6451.65"/>
    <s v="Contratos"/>
  </r>
  <r>
    <s v="D0229"/>
    <s v="C017"/>
    <s v="F001"/>
    <s v="Alpha Serviços"/>
    <d v="2025-08-31T00:00:00"/>
    <d v="2025-09-02T00:00:00"/>
    <m/>
    <x v="5"/>
    <x v="3"/>
    <x v="0"/>
    <n v="2"/>
    <n v="10"/>
    <s v="Não"/>
    <n v="22508.14"/>
    <s v="Administrativo"/>
  </r>
  <r>
    <s v="D0230"/>
    <s v="C012"/>
    <s v="F006"/>
    <s v="Forte Logística"/>
    <d v="2025-09-23T00:00:00"/>
    <d v="2025-10-08T00:00:00"/>
    <d v="2025-10-03T00:00:00"/>
    <x v="4"/>
    <x v="1"/>
    <x v="1"/>
    <n v="15"/>
    <n v="10"/>
    <s v="Sim"/>
    <n v="10104.200000000001"/>
    <s v="Tecnologia"/>
  </r>
  <r>
    <s v="D0231"/>
    <s v="C010"/>
    <s v="F005"/>
    <s v="Eco Office"/>
    <d v="2025-04-20T00:00:00"/>
    <d v="2025-04-30T00:00:00"/>
    <d v="2025-05-02T00:00:00"/>
    <x v="3"/>
    <x v="0"/>
    <x v="1"/>
    <n v="10"/>
    <n v="12"/>
    <s v="Não"/>
    <n v="17641.900000000001"/>
    <s v="Tecnologia"/>
  </r>
  <r>
    <s v="D0232"/>
    <s v="C007"/>
    <s v="F008"/>
    <s v="Higieniza Mais"/>
    <d v="2025-10-17T00:00:00"/>
    <d v="2025-10-22T00:00:00"/>
    <d v="2025-10-24T00:00:00"/>
    <x v="1"/>
    <x v="2"/>
    <x v="1"/>
    <n v="5"/>
    <n v="7"/>
    <s v="Não"/>
    <n v="21732.57"/>
    <s v="Administrativo"/>
  </r>
  <r>
    <s v="D0233"/>
    <s v="C011"/>
    <s v="F004"/>
    <s v="Delta Segurança"/>
    <d v="2025-11-20T00:00:00"/>
    <d v="2025-11-30T00:00:00"/>
    <d v="2025-11-26T00:00:00"/>
    <x v="2"/>
    <x v="0"/>
    <x v="1"/>
    <n v="10"/>
    <n v="6"/>
    <s v="Sim"/>
    <n v="10858.11"/>
    <s v="Atendimento"/>
  </r>
  <r>
    <s v="D0234"/>
    <s v="C014"/>
    <s v="F001"/>
    <s v="Alpha Serviços"/>
    <d v="2025-12-15T00:00:00"/>
    <d v="2025-12-17T00:00:00"/>
    <m/>
    <x v="4"/>
    <x v="3"/>
    <x v="3"/>
    <n v="2"/>
    <m/>
    <s v=""/>
    <n v="14533.58"/>
    <s v="Administrativo"/>
  </r>
  <r>
    <s v="D0235"/>
    <s v="C001"/>
    <s v="F001"/>
    <s v="Alpha Serviços"/>
    <d v="2025-10-16T00:00:00"/>
    <d v="2025-10-18T00:00:00"/>
    <m/>
    <x v="4"/>
    <x v="3"/>
    <x v="3"/>
    <n v="2"/>
    <m/>
    <s v=""/>
    <n v="644.98"/>
    <s v="Tecnologia"/>
  </r>
  <r>
    <s v="D0236"/>
    <s v="C010"/>
    <s v="F005"/>
    <s v="Eco Office"/>
    <d v="2026-06-19T00:00:00"/>
    <d v="2026-06-29T00:00:00"/>
    <m/>
    <x v="3"/>
    <x v="0"/>
    <x v="0"/>
    <n v="10"/>
    <n v="16"/>
    <s v="Não"/>
    <n v="20590.22"/>
    <s v="Tecnologia"/>
  </r>
  <r>
    <s v="D0237"/>
    <s v="C018"/>
    <s v="F009"/>
    <s v="InfraMax"/>
    <d v="2026-02-06T00:00:00"/>
    <d v="2026-02-08T00:00:00"/>
    <d v="2026-02-11T00:00:00"/>
    <x v="4"/>
    <x v="3"/>
    <x v="1"/>
    <n v="2"/>
    <n v="5"/>
    <s v="Não"/>
    <n v="21365.09"/>
    <s v="Operações"/>
  </r>
  <r>
    <s v="D0238"/>
    <s v="C010"/>
    <s v="F005"/>
    <s v="Eco Office"/>
    <d v="2025-12-30T00:00:00"/>
    <d v="2026-01-09T00:00:00"/>
    <m/>
    <x v="0"/>
    <x v="0"/>
    <x v="3"/>
    <n v="10"/>
    <m/>
    <s v=""/>
    <n v="10252.290000000001"/>
    <s v="Tecnologia"/>
  </r>
  <r>
    <s v="D0239"/>
    <s v="C002"/>
    <s v="F010"/>
    <s v="Prime Soluções"/>
    <d v="2025-12-27T00:00:00"/>
    <d v="2026-01-11T00:00:00"/>
    <d v="2026-01-16T00:00:00"/>
    <x v="0"/>
    <x v="1"/>
    <x v="1"/>
    <n v="15"/>
    <n v="20"/>
    <s v="Não"/>
    <n v="19716.490000000002"/>
    <s v="Administrativo"/>
  </r>
  <r>
    <s v="D0240"/>
    <s v="C011"/>
    <s v="F004"/>
    <s v="Delta Segurança"/>
    <d v="2025-06-30T00:00:00"/>
    <d v="2025-07-15T00:00:00"/>
    <m/>
    <x v="0"/>
    <x v="1"/>
    <x v="2"/>
    <n v="15"/>
    <m/>
    <s v="Não se aplica"/>
    <n v="6922.48"/>
    <s v="Atendiment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P0001"/>
    <s v="C017"/>
    <s v="F001"/>
    <s v="Alpha Serviços"/>
    <d v="2025-07-01T00:00:00"/>
    <d v="2025-07-19T00:00:00"/>
    <n v="18359.740000000002"/>
    <x v="0"/>
    <s v="Manutenção"/>
  </r>
  <r>
    <s v="P0002"/>
    <s v="C016"/>
    <s v="F008"/>
    <s v="Higieniza Mais"/>
    <d v="2025-09-01T00:00:00"/>
    <d v="2026-01-16T00:00:00"/>
    <n v="41683.67"/>
    <x v="0"/>
    <s v="Serviço avulso"/>
  </r>
  <r>
    <s v="P0003"/>
    <s v="C006"/>
    <s v="F002"/>
    <s v="Beta Facilities"/>
    <d v="2026-12-01T00:00:00"/>
    <d v="2026-01-10T00:00:00"/>
    <n v="23220.18"/>
    <x v="0"/>
    <s v="Mensal"/>
  </r>
  <r>
    <s v="P0004"/>
    <s v="C006"/>
    <s v="F002"/>
    <s v="Beta Facilities"/>
    <d v="2026-03-01T00:00:00"/>
    <d v="2025-09-02T00:00:00"/>
    <n v="33811.230000000003"/>
    <x v="0"/>
    <s v="Manutenção"/>
  </r>
  <r>
    <s v="P0005"/>
    <s v="C018"/>
    <s v="F009"/>
    <s v="InfraMax"/>
    <d v="2026-10-01T00:00:00"/>
    <m/>
    <n v="3103.55"/>
    <x v="1"/>
    <s v="Material"/>
  </r>
  <r>
    <s v="P0006"/>
    <s v="C015"/>
    <s v="F007"/>
    <s v="Global Sistemas"/>
    <d v="2026-08-01T00:00:00"/>
    <d v="2025-02-21T00:00:00"/>
    <n v="15559.68"/>
    <x v="0"/>
    <s v="Serviço avulso"/>
  </r>
  <r>
    <s v="P0007"/>
    <s v="C010"/>
    <s v="F005"/>
    <s v="Eco Office"/>
    <d v="2026-12-01T00:00:00"/>
    <m/>
    <n v="30672.43"/>
    <x v="1"/>
    <s v="Material"/>
  </r>
  <r>
    <s v="P0008"/>
    <s v="C017"/>
    <s v="F001"/>
    <s v="Alpha Serviços"/>
    <d v="2026-09-01T00:00:00"/>
    <m/>
    <n v="49168.69"/>
    <x v="1"/>
    <s v="Serviço avulso"/>
  </r>
  <r>
    <s v="P0009"/>
    <s v="C014"/>
    <s v="F001"/>
    <s v="Alpha Serviços"/>
    <d v="2026-10-01T00:00:00"/>
    <d v="2026-06-11T00:00:00"/>
    <n v="42981.02"/>
    <x v="0"/>
    <s v="Suporte"/>
  </r>
  <r>
    <s v="P0010"/>
    <s v="C020"/>
    <s v="F008"/>
    <s v="Higieniza Mais"/>
    <d v="2026-11-01T00:00:00"/>
    <d v="2026-06-12T00:00:00"/>
    <n v="38061.96"/>
    <x v="0"/>
    <s v="Serviço avulso"/>
  </r>
  <r>
    <s v="P0011"/>
    <s v="C011"/>
    <s v="F004"/>
    <s v="Delta Segurança"/>
    <d v="2026-03-01T00:00:00"/>
    <d v="2025-06-30T00:00:00"/>
    <n v="28611.72"/>
    <x v="0"/>
    <s v="Manutenção"/>
  </r>
  <r>
    <s v="P0012"/>
    <s v="C016"/>
    <s v="F008"/>
    <s v="Higieniza Mais"/>
    <d v="2026-01-01T00:00:00"/>
    <d v="2026-06-19T00:00:00"/>
    <n v="53902.95"/>
    <x v="0"/>
    <s v="Serviço avulso"/>
  </r>
  <r>
    <s v="P0013"/>
    <s v="C019"/>
    <s v="F009"/>
    <s v="InfraMax"/>
    <d v="2025-09-01T00:00:00"/>
    <d v="2025-12-17T00:00:00"/>
    <n v="34802.519999999997"/>
    <x v="0"/>
    <s v="Serviço avulso"/>
  </r>
  <r>
    <s v="P0014"/>
    <s v="C005"/>
    <s v="F004"/>
    <s v="Delta Segurança"/>
    <d v="2026-07-01T00:00:00"/>
    <d v="2025-08-06T00:00:00"/>
    <n v="3915.96"/>
    <x v="0"/>
    <s v="Mensal"/>
  </r>
  <r>
    <s v="P0015"/>
    <s v="C011"/>
    <s v="F004"/>
    <s v="Delta Segurança"/>
    <d v="2026-02-01T00:00:00"/>
    <d v="2025-05-13T00:00:00"/>
    <n v="27403.86"/>
    <x v="0"/>
    <s v="Suporte"/>
  </r>
  <r>
    <s v="P0016"/>
    <s v="C016"/>
    <s v="F008"/>
    <s v="Higieniza Mais"/>
    <d v="2026-01-01T00:00:00"/>
    <m/>
    <n v="43473.19"/>
    <x v="1"/>
    <s v="Manutenção"/>
  </r>
  <r>
    <s v="P0017"/>
    <s v="C005"/>
    <s v="F004"/>
    <s v="Delta Segurança"/>
    <d v="2025-08-01T00:00:00"/>
    <d v="2025-11-20T00:00:00"/>
    <n v="7396.78"/>
    <x v="0"/>
    <s v="Material"/>
  </r>
  <r>
    <s v="P0018"/>
    <s v="C007"/>
    <s v="F008"/>
    <s v="Higieniza Mais"/>
    <d v="2026-03-01T00:00:00"/>
    <d v="2026-06-15T00:00:00"/>
    <n v="21313.91"/>
    <x v="0"/>
    <s v="Mensal"/>
  </r>
  <r>
    <s v="P0019"/>
    <s v="C001"/>
    <s v="F001"/>
    <s v="Alpha Serviços"/>
    <d v="2026-03-01T00:00:00"/>
    <m/>
    <n v="27457.73"/>
    <x v="1"/>
    <s v="Material"/>
  </r>
  <r>
    <s v="P0020"/>
    <s v="C019"/>
    <s v="F009"/>
    <s v="InfraMax"/>
    <d v="2025-08-01T00:00:00"/>
    <d v="2026-01-20T00:00:00"/>
    <n v="17466.79"/>
    <x v="0"/>
    <s v="Suporte"/>
  </r>
  <r>
    <s v="P0021"/>
    <s v="C018"/>
    <s v="F009"/>
    <s v="InfraMax"/>
    <d v="2025-09-01T00:00:00"/>
    <d v="2025-08-14T00:00:00"/>
    <n v="57200.28"/>
    <x v="0"/>
    <s v="Material"/>
  </r>
  <r>
    <s v="P0022"/>
    <s v="C011"/>
    <s v="F004"/>
    <s v="Delta Segurança"/>
    <d v="2026-02-01T00:00:00"/>
    <m/>
    <n v="21313.94"/>
    <x v="2"/>
    <s v="Mensal"/>
  </r>
  <r>
    <s v="P0023"/>
    <s v="C006"/>
    <s v="F002"/>
    <s v="Beta Facilities"/>
    <d v="2026-03-01T00:00:00"/>
    <m/>
    <n v="18287.89"/>
    <x v="1"/>
    <s v="Suporte"/>
  </r>
  <r>
    <s v="P0024"/>
    <s v="C005"/>
    <s v="F004"/>
    <s v="Delta Segurança"/>
    <d v="2025-01-01T00:00:00"/>
    <m/>
    <n v="58931.61"/>
    <x v="2"/>
    <s v="Manutenção"/>
  </r>
  <r>
    <s v="P0025"/>
    <s v="C005"/>
    <s v="F004"/>
    <s v="Delta Segurança"/>
    <d v="2026-08-01T00:00:00"/>
    <m/>
    <n v="32092.35"/>
    <x v="2"/>
    <s v="Mensal"/>
  </r>
  <r>
    <s v="P0026"/>
    <s v="C008"/>
    <s v="F006"/>
    <s v="Forte Logística"/>
    <d v="2025-02-01T00:00:00"/>
    <m/>
    <n v="34643.629999999997"/>
    <x v="1"/>
    <s v="Material"/>
  </r>
  <r>
    <s v="P0027"/>
    <s v="C009"/>
    <s v="F007"/>
    <s v="Global Sistemas"/>
    <d v="2026-05-01T00:00:00"/>
    <m/>
    <n v="44404.480000000003"/>
    <x v="1"/>
    <s v="Material"/>
  </r>
  <r>
    <s v="P0028"/>
    <s v="C007"/>
    <s v="F008"/>
    <s v="Higieniza Mais"/>
    <d v="2026-12-01T00:00:00"/>
    <m/>
    <n v="5336.78"/>
    <x v="1"/>
    <s v="Mensal"/>
  </r>
  <r>
    <s v="P0029"/>
    <s v="C006"/>
    <s v="F002"/>
    <s v="Beta Facilities"/>
    <d v="2025-10-01T00:00:00"/>
    <d v="2025-04-06T00:00:00"/>
    <n v="37830.800000000003"/>
    <x v="0"/>
    <s v="Mensal"/>
  </r>
  <r>
    <s v="P0030"/>
    <s v="C008"/>
    <s v="F006"/>
    <s v="Forte Logística"/>
    <d v="2026-02-01T00:00:00"/>
    <m/>
    <n v="36288.6"/>
    <x v="2"/>
    <s v="Material"/>
  </r>
  <r>
    <s v="P0031"/>
    <s v="C011"/>
    <s v="F004"/>
    <s v="Delta Segurança"/>
    <d v="2026-10-01T00:00:00"/>
    <m/>
    <n v="15850.31"/>
    <x v="1"/>
    <s v="Mensal"/>
  </r>
  <r>
    <s v="P0032"/>
    <s v="C004"/>
    <s v="F003"/>
    <s v="Central Tech"/>
    <d v="2025-02-01T00:00:00"/>
    <m/>
    <n v="52324.639999999999"/>
    <x v="2"/>
    <s v="Manutenção"/>
  </r>
  <r>
    <s v="P0033"/>
    <s v="C013"/>
    <s v="F003"/>
    <s v="Central Tech"/>
    <d v="2025-10-01T00:00:00"/>
    <d v="2025-10-30T00:00:00"/>
    <n v="37444.65"/>
    <x v="0"/>
    <s v="Serviço avulso"/>
  </r>
  <r>
    <s v="P0034"/>
    <s v="C015"/>
    <s v="F007"/>
    <s v="Global Sistemas"/>
    <d v="2026-03-01T00:00:00"/>
    <d v="2026-02-26T00:00:00"/>
    <n v="58729.09"/>
    <x v="0"/>
    <s v="Serviço avulso"/>
  </r>
  <r>
    <s v="P0035"/>
    <s v="C006"/>
    <s v="F002"/>
    <s v="Beta Facilities"/>
    <d v="2026-02-01T00:00:00"/>
    <d v="2025-05-20T00:00:00"/>
    <n v="8296.7800000000007"/>
    <x v="0"/>
    <s v="Manutenção"/>
  </r>
  <r>
    <s v="P0036"/>
    <s v="C017"/>
    <s v="F001"/>
    <s v="Alpha Serviços"/>
    <d v="2026-06-01T00:00:00"/>
    <d v="2026-02-16T00:00:00"/>
    <n v="59738.080000000002"/>
    <x v="0"/>
    <s v="Suporte"/>
  </r>
  <r>
    <s v="P0037"/>
    <s v="C007"/>
    <s v="F008"/>
    <s v="Higieniza Mais"/>
    <d v="2026-04-01T00:00:00"/>
    <m/>
    <n v="43741.56"/>
    <x v="1"/>
    <s v="Mensal"/>
  </r>
  <r>
    <s v="P0038"/>
    <s v="C002"/>
    <s v="F010"/>
    <s v="Prime Soluções"/>
    <d v="2025-01-01T00:00:00"/>
    <d v="2025-05-09T00:00:00"/>
    <n v="10282.1"/>
    <x v="0"/>
    <s v="Mensal"/>
  </r>
  <r>
    <s v="P0039"/>
    <s v="C015"/>
    <s v="F007"/>
    <s v="Global Sistemas"/>
    <d v="2025-10-01T00:00:00"/>
    <d v="2026-04-17T00:00:00"/>
    <n v="43841.64"/>
    <x v="0"/>
    <s v="Material"/>
  </r>
  <r>
    <s v="P0040"/>
    <s v="C005"/>
    <s v="F004"/>
    <s v="Delta Segurança"/>
    <d v="2025-12-01T00:00:00"/>
    <m/>
    <n v="56786.55"/>
    <x v="3"/>
    <s v="Material"/>
  </r>
  <r>
    <s v="P0041"/>
    <s v="C015"/>
    <s v="F007"/>
    <s v="Global Sistemas"/>
    <d v="2025-08-01T00:00:00"/>
    <m/>
    <n v="28446.45"/>
    <x v="3"/>
    <s v="Mensal"/>
  </r>
  <r>
    <s v="P0042"/>
    <s v="C013"/>
    <s v="F003"/>
    <s v="Central Tech"/>
    <d v="2025-07-01T00:00:00"/>
    <m/>
    <n v="25161.54"/>
    <x v="3"/>
    <s v="Material"/>
  </r>
  <r>
    <s v="P0043"/>
    <s v="C008"/>
    <s v="F006"/>
    <s v="Forte Logística"/>
    <d v="2025-11-01T00:00:00"/>
    <m/>
    <n v="49744.56"/>
    <x v="1"/>
    <s v="Mensal"/>
  </r>
  <r>
    <s v="P0044"/>
    <s v="C006"/>
    <s v="F002"/>
    <s v="Beta Facilities"/>
    <d v="2025-06-01T00:00:00"/>
    <d v="2026-02-15T00:00:00"/>
    <n v="28646.58"/>
    <x v="0"/>
    <s v="Mensal"/>
  </r>
  <r>
    <s v="P0045"/>
    <s v="C004"/>
    <s v="F003"/>
    <s v="Central Tech"/>
    <d v="2025-11-01T00:00:00"/>
    <d v="2025-03-23T00:00:00"/>
    <n v="48658.19"/>
    <x v="0"/>
    <s v="Suporte"/>
  </r>
  <r>
    <s v="P0046"/>
    <s v="C008"/>
    <s v="F006"/>
    <s v="Forte Logística"/>
    <d v="2025-11-01T00:00:00"/>
    <d v="2025-05-02T00:00:00"/>
    <n v="51924.52"/>
    <x v="0"/>
    <s v="Manutenção"/>
  </r>
  <r>
    <s v="P0047"/>
    <s v="C007"/>
    <s v="F008"/>
    <s v="Higieniza Mais"/>
    <d v="2025-08-01T00:00:00"/>
    <m/>
    <n v="8056.63"/>
    <x v="2"/>
    <s v="Manutenção"/>
  </r>
  <r>
    <s v="P0048"/>
    <s v="C005"/>
    <s v="F004"/>
    <s v="Delta Segurança"/>
    <d v="2025-08-01T00:00:00"/>
    <d v="2025-03-03T00:00:00"/>
    <n v="27081.86"/>
    <x v="0"/>
    <s v="Suporte"/>
  </r>
  <r>
    <s v="P0049"/>
    <s v="C011"/>
    <s v="F004"/>
    <s v="Delta Segurança"/>
    <d v="2025-12-01T00:00:00"/>
    <d v="2026-05-17T00:00:00"/>
    <n v="4013.07"/>
    <x v="0"/>
    <s v="Suporte"/>
  </r>
  <r>
    <s v="P0050"/>
    <s v="C017"/>
    <s v="F001"/>
    <s v="Alpha Serviços"/>
    <d v="2026-06-01T00:00:00"/>
    <m/>
    <n v="56224.85"/>
    <x v="2"/>
    <s v="Manutenção"/>
  </r>
  <r>
    <s v="P0051"/>
    <s v="C018"/>
    <s v="F009"/>
    <s v="InfraMax"/>
    <d v="2025-06-01T00:00:00"/>
    <d v="2025-11-10T00:00:00"/>
    <n v="11971.64"/>
    <x v="0"/>
    <s v="Serviço avulso"/>
  </r>
  <r>
    <s v="P0052"/>
    <s v="C010"/>
    <s v="F005"/>
    <s v="Eco Office"/>
    <d v="2025-10-01T00:00:00"/>
    <m/>
    <n v="42007.61"/>
    <x v="3"/>
    <s v="Suporte"/>
  </r>
  <r>
    <s v="P0053"/>
    <s v="C003"/>
    <s v="F004"/>
    <s v="Delta Segurança"/>
    <d v="2025-11-01T00:00:00"/>
    <d v="2025-05-20T00:00:00"/>
    <n v="25105.05"/>
    <x v="0"/>
    <s v="Manutenção"/>
  </r>
  <r>
    <s v="P0054"/>
    <s v="C011"/>
    <s v="F004"/>
    <s v="Delta Segurança"/>
    <d v="2026-01-01T00:00:00"/>
    <d v="2025-06-14T00:00:00"/>
    <n v="17831.810000000001"/>
    <x v="0"/>
    <s v="Serviço avulso"/>
  </r>
  <r>
    <s v="P0055"/>
    <s v="C014"/>
    <s v="F001"/>
    <s v="Alpha Serviços"/>
    <d v="2025-11-01T00:00:00"/>
    <m/>
    <n v="21396.44"/>
    <x v="1"/>
    <s v="Serviço avulso"/>
  </r>
  <r>
    <s v="P0056"/>
    <s v="C003"/>
    <s v="F004"/>
    <s v="Delta Segurança"/>
    <d v="2026-01-01T00:00:00"/>
    <d v="2026-01-26T00:00:00"/>
    <n v="12365.2"/>
    <x v="0"/>
    <s v="Material"/>
  </r>
  <r>
    <s v="P0057"/>
    <s v="C004"/>
    <s v="F003"/>
    <s v="Central Tech"/>
    <d v="2025-09-01T00:00:00"/>
    <d v="2026-05-16T00:00:00"/>
    <n v="7285.35"/>
    <x v="0"/>
    <s v="Material"/>
  </r>
  <r>
    <s v="P0058"/>
    <s v="C014"/>
    <s v="F001"/>
    <s v="Alpha Serviços"/>
    <d v="2025-01-01T00:00:00"/>
    <d v="2025-06-19T00:00:00"/>
    <n v="35907.01"/>
    <x v="0"/>
    <s v="Manutenção"/>
  </r>
  <r>
    <s v="P0059"/>
    <s v="C013"/>
    <s v="F003"/>
    <s v="Central Tech"/>
    <d v="2026-12-01T00:00:00"/>
    <m/>
    <n v="6639.5"/>
    <x v="1"/>
    <s v="Mensal"/>
  </r>
  <r>
    <s v="P0060"/>
    <s v="C014"/>
    <s v="F001"/>
    <s v="Alpha Serviços"/>
    <d v="2025-07-01T00:00:00"/>
    <d v="2025-05-31T00:00:00"/>
    <n v="24848.89"/>
    <x v="0"/>
    <s v="Serviço avulso"/>
  </r>
  <r>
    <s v="P0061"/>
    <s v="C019"/>
    <s v="F009"/>
    <s v="InfraMax"/>
    <d v="2026-10-01T00:00:00"/>
    <m/>
    <n v="15374.5"/>
    <x v="2"/>
    <s v="Suporte"/>
  </r>
  <r>
    <s v="P0062"/>
    <s v="C002"/>
    <s v="F010"/>
    <s v="Prime Soluções"/>
    <d v="2025-08-01T00:00:00"/>
    <m/>
    <n v="7774.13"/>
    <x v="3"/>
    <s v="Suporte"/>
  </r>
  <r>
    <s v="P0063"/>
    <s v="C011"/>
    <s v="F004"/>
    <s v="Delta Segurança"/>
    <d v="2026-08-01T00:00:00"/>
    <m/>
    <n v="51709.79"/>
    <x v="2"/>
    <s v="Material"/>
  </r>
  <r>
    <s v="P0064"/>
    <s v="C020"/>
    <s v="F008"/>
    <s v="Higieniza Mais"/>
    <d v="2025-07-01T00:00:00"/>
    <m/>
    <n v="56054.89"/>
    <x v="3"/>
    <s v="Suporte"/>
  </r>
  <r>
    <s v="P0065"/>
    <s v="C014"/>
    <s v="F001"/>
    <s v="Alpha Serviços"/>
    <d v="2025-11-01T00:00:00"/>
    <m/>
    <n v="6484.45"/>
    <x v="2"/>
    <s v="Material"/>
  </r>
  <r>
    <s v="P0066"/>
    <s v="C016"/>
    <s v="F008"/>
    <s v="Higieniza Mais"/>
    <d v="2026-08-01T00:00:00"/>
    <m/>
    <n v="40414.17"/>
    <x v="3"/>
    <s v="Manutenção"/>
  </r>
  <r>
    <s v="P0067"/>
    <s v="C008"/>
    <s v="F006"/>
    <s v="Forte Logística"/>
    <d v="2025-07-01T00:00:00"/>
    <m/>
    <n v="35823.519999999997"/>
    <x v="1"/>
    <s v="Serviço avulso"/>
  </r>
  <r>
    <s v="P0068"/>
    <s v="C011"/>
    <s v="F004"/>
    <s v="Delta Segurança"/>
    <d v="2026-11-01T00:00:00"/>
    <m/>
    <n v="36296.78"/>
    <x v="1"/>
    <s v="Manutenção"/>
  </r>
  <r>
    <s v="P0069"/>
    <s v="C006"/>
    <s v="F002"/>
    <s v="Beta Facilities"/>
    <d v="2025-02-01T00:00:00"/>
    <d v="2025-10-29T00:00:00"/>
    <n v="5307.57"/>
    <x v="0"/>
    <s v="Material"/>
  </r>
  <r>
    <s v="P0070"/>
    <s v="C009"/>
    <s v="F007"/>
    <s v="Global Sistemas"/>
    <d v="2026-06-01T00:00:00"/>
    <m/>
    <n v="27352.47"/>
    <x v="2"/>
    <s v="Material"/>
  </r>
  <r>
    <s v="P0071"/>
    <s v="C014"/>
    <s v="F001"/>
    <s v="Alpha Serviços"/>
    <d v="2026-05-01T00:00:00"/>
    <d v="2025-08-27T00:00:00"/>
    <n v="18647.91"/>
    <x v="0"/>
    <s v="Manutenção"/>
  </r>
  <r>
    <s v="P0072"/>
    <s v="C007"/>
    <s v="F008"/>
    <s v="Higieniza Mais"/>
    <d v="2025-02-01T00:00:00"/>
    <m/>
    <n v="34055.599999999999"/>
    <x v="2"/>
    <s v="Mensal"/>
  </r>
  <r>
    <s v="P0073"/>
    <s v="C003"/>
    <s v="F004"/>
    <s v="Delta Segurança"/>
    <d v="2026-11-01T00:00:00"/>
    <d v="2025-01-28T00:00:00"/>
    <n v="54540.19"/>
    <x v="0"/>
    <s v="Mensal"/>
  </r>
  <r>
    <s v="P0074"/>
    <s v="C017"/>
    <s v="F001"/>
    <s v="Alpha Serviços"/>
    <d v="2026-09-01T00:00:00"/>
    <m/>
    <n v="37256.26"/>
    <x v="2"/>
    <s v="Suporte"/>
  </r>
  <r>
    <s v="P0075"/>
    <s v="C013"/>
    <s v="F003"/>
    <s v="Central Tech"/>
    <d v="2025-03-01T00:00:00"/>
    <d v="2025-06-07T00:00:00"/>
    <n v="18808.080000000002"/>
    <x v="0"/>
    <s v="Mensal"/>
  </r>
  <r>
    <s v="P0076"/>
    <s v="C004"/>
    <s v="F003"/>
    <s v="Central Tech"/>
    <d v="2026-08-01T00:00:00"/>
    <d v="2026-05-29T00:00:00"/>
    <n v="51773.48"/>
    <x v="0"/>
    <s v="Serviço avulso"/>
  </r>
  <r>
    <s v="P0077"/>
    <s v="C001"/>
    <s v="F001"/>
    <s v="Alpha Serviços"/>
    <d v="2025-02-01T00:00:00"/>
    <d v="2025-06-24T00:00:00"/>
    <n v="19445.900000000001"/>
    <x v="0"/>
    <s v="Serviço avulso"/>
  </r>
  <r>
    <s v="P0078"/>
    <s v="C013"/>
    <s v="F003"/>
    <s v="Central Tech"/>
    <d v="2026-04-01T00:00:00"/>
    <m/>
    <n v="30671.279999999999"/>
    <x v="2"/>
    <s v="Mensal"/>
  </r>
  <r>
    <s v="P0079"/>
    <s v="C003"/>
    <s v="F004"/>
    <s v="Delta Segurança"/>
    <d v="2025-08-01T00:00:00"/>
    <m/>
    <n v="3841.33"/>
    <x v="2"/>
    <s v="Mensal"/>
  </r>
  <r>
    <s v="P0080"/>
    <s v="C012"/>
    <s v="F006"/>
    <s v="Forte Logística"/>
    <d v="2026-09-01T00:00:00"/>
    <m/>
    <n v="25952.48"/>
    <x v="3"/>
    <s v="Suporte"/>
  </r>
  <r>
    <s v="P0081"/>
    <s v="C018"/>
    <s v="F009"/>
    <s v="InfraMax"/>
    <d v="2025-09-01T00:00:00"/>
    <d v="2025-11-13T00:00:00"/>
    <n v="7304.95"/>
    <x v="0"/>
    <s v="Serviço avulso"/>
  </r>
  <r>
    <s v="P0082"/>
    <s v="C006"/>
    <s v="F002"/>
    <s v="Beta Facilities"/>
    <d v="2025-04-01T00:00:00"/>
    <d v="2026-04-06T00:00:00"/>
    <n v="56072.33"/>
    <x v="0"/>
    <s v="Manutenção"/>
  </r>
  <r>
    <s v="P0083"/>
    <s v="C009"/>
    <s v="F007"/>
    <s v="Global Sistemas"/>
    <d v="2026-02-01T00:00:00"/>
    <m/>
    <n v="56698.48"/>
    <x v="1"/>
    <s v="Material"/>
  </r>
  <r>
    <s v="P0084"/>
    <s v="C011"/>
    <s v="F004"/>
    <s v="Delta Segurança"/>
    <d v="2025-02-01T00:00:00"/>
    <m/>
    <n v="34784.35"/>
    <x v="1"/>
    <s v="Manutenção"/>
  </r>
  <r>
    <s v="P0085"/>
    <s v="C008"/>
    <s v="F006"/>
    <s v="Forte Logística"/>
    <d v="2026-10-01T00:00:00"/>
    <d v="2025-08-23T00:00:00"/>
    <n v="51702.65"/>
    <x v="0"/>
    <s v="Material"/>
  </r>
  <r>
    <s v="P0086"/>
    <s v="C011"/>
    <s v="F004"/>
    <s v="Delta Segurança"/>
    <d v="2025-02-01T00:00:00"/>
    <d v="2025-11-23T00:00:00"/>
    <n v="3983.5"/>
    <x v="0"/>
    <s v="Manutenção"/>
  </r>
  <r>
    <s v="P0087"/>
    <s v="C006"/>
    <s v="F002"/>
    <s v="Beta Facilities"/>
    <d v="2026-12-01T00:00:00"/>
    <m/>
    <n v="55265.279999999999"/>
    <x v="1"/>
    <s v="Manutenção"/>
  </r>
  <r>
    <s v="P0088"/>
    <s v="C018"/>
    <s v="F009"/>
    <s v="InfraMax"/>
    <d v="2026-05-01T00:00:00"/>
    <m/>
    <n v="19523.93"/>
    <x v="1"/>
    <s v="Serviço avulso"/>
  </r>
  <r>
    <s v="P0089"/>
    <s v="C017"/>
    <s v="F001"/>
    <s v="Alpha Serviços"/>
    <d v="2026-10-01T00:00:00"/>
    <d v="2025-08-26T00:00:00"/>
    <n v="21391.34"/>
    <x v="0"/>
    <s v="Manutenção"/>
  </r>
  <r>
    <s v="P0090"/>
    <s v="C003"/>
    <s v="F004"/>
    <s v="Delta Segurança"/>
    <d v="2026-01-01T00:00:00"/>
    <d v="2025-01-18T00:00:00"/>
    <n v="53381.11"/>
    <x v="0"/>
    <s v="Serviço avulso"/>
  </r>
  <r>
    <s v="P0091"/>
    <s v="C003"/>
    <s v="F004"/>
    <s v="Delta Segurança"/>
    <d v="2026-10-01T00:00:00"/>
    <m/>
    <n v="40694.620000000003"/>
    <x v="1"/>
    <s v="Suporte"/>
  </r>
  <r>
    <s v="P0092"/>
    <s v="C013"/>
    <s v="F003"/>
    <s v="Central Tech"/>
    <d v="2025-06-01T00:00:00"/>
    <d v="2025-01-10T00:00:00"/>
    <n v="57620.28"/>
    <x v="0"/>
    <s v="Serviço avulso"/>
  </r>
  <r>
    <s v="P0093"/>
    <s v="C012"/>
    <s v="F006"/>
    <s v="Forte Logística"/>
    <d v="2025-03-01T00:00:00"/>
    <d v="2025-03-21T00:00:00"/>
    <n v="54617.35"/>
    <x v="0"/>
    <s v="Manutenção"/>
  </r>
  <r>
    <s v="P0094"/>
    <s v="C005"/>
    <s v="F004"/>
    <s v="Delta Segurança"/>
    <d v="2025-04-01T00:00:00"/>
    <d v="2026-06-03T00:00:00"/>
    <n v="24547.03"/>
    <x v="0"/>
    <s v="Serviço avulso"/>
  </r>
  <r>
    <s v="P0095"/>
    <s v="C005"/>
    <s v="F004"/>
    <s v="Delta Segurança"/>
    <d v="2026-08-01T00:00:00"/>
    <d v="2025-05-02T00:00:00"/>
    <n v="46409.72"/>
    <x v="0"/>
    <s v="Suporte"/>
  </r>
  <r>
    <s v="P0096"/>
    <s v="C010"/>
    <s v="F005"/>
    <s v="Eco Office"/>
    <d v="2026-10-01T00:00:00"/>
    <d v="2025-10-30T00:00:00"/>
    <n v="28729.14"/>
    <x v="0"/>
    <s v="Material"/>
  </r>
  <r>
    <s v="P0097"/>
    <s v="C019"/>
    <s v="F009"/>
    <s v="InfraMax"/>
    <d v="2026-05-01T00:00:00"/>
    <m/>
    <n v="27187.200000000001"/>
    <x v="3"/>
    <s v="Manutenção"/>
  </r>
  <r>
    <s v="P0098"/>
    <s v="C015"/>
    <s v="F007"/>
    <s v="Global Sistemas"/>
    <d v="2025-05-01T00:00:00"/>
    <d v="2025-05-17T00:00:00"/>
    <n v="31019.56"/>
    <x v="0"/>
    <s v="Manutenção"/>
  </r>
  <r>
    <s v="P0099"/>
    <s v="C005"/>
    <s v="F004"/>
    <s v="Delta Segurança"/>
    <d v="2025-06-01T00:00:00"/>
    <d v="2026-01-14T00:00:00"/>
    <n v="20166.71"/>
    <x v="0"/>
    <s v="Suporte"/>
  </r>
  <r>
    <s v="P0100"/>
    <s v="C010"/>
    <s v="F005"/>
    <s v="Eco Office"/>
    <d v="2025-05-01T00:00:00"/>
    <m/>
    <n v="7810.16"/>
    <x v="3"/>
    <s v="Serviço avulso"/>
  </r>
  <r>
    <s v="P0101"/>
    <s v="C007"/>
    <s v="F008"/>
    <s v="Higieniza Mais"/>
    <d v="2026-12-01T00:00:00"/>
    <d v="2026-03-05T00:00:00"/>
    <n v="47103.07"/>
    <x v="0"/>
    <s v="Serviço avulso"/>
  </r>
  <r>
    <s v="P0102"/>
    <s v="C007"/>
    <s v="F008"/>
    <s v="Higieniza Mais"/>
    <d v="2025-08-01T00:00:00"/>
    <d v="2026-06-20T00:00:00"/>
    <n v="49857.08"/>
    <x v="0"/>
    <s v="Serviço avulso"/>
  </r>
  <r>
    <s v="P0103"/>
    <s v="C006"/>
    <s v="F002"/>
    <s v="Beta Facilities"/>
    <d v="2026-11-01T00:00:00"/>
    <d v="2025-10-18T00:00:00"/>
    <n v="27630.2"/>
    <x v="0"/>
    <s v="Material"/>
  </r>
  <r>
    <s v="P0104"/>
    <s v="C012"/>
    <s v="F006"/>
    <s v="Forte Logística"/>
    <d v="2025-05-01T00:00:00"/>
    <d v="2025-06-06T00:00:00"/>
    <n v="38815.839999999997"/>
    <x v="0"/>
    <s v="Suporte"/>
  </r>
  <r>
    <s v="P0105"/>
    <s v="C020"/>
    <s v="F008"/>
    <s v="Higieniza Mais"/>
    <d v="2026-01-01T00:00:00"/>
    <d v="2026-06-26T00:00:00"/>
    <n v="37019.03"/>
    <x v="0"/>
    <s v="Manutenção"/>
  </r>
  <r>
    <s v="P0106"/>
    <s v="C016"/>
    <s v="F008"/>
    <s v="Higieniza Mais"/>
    <d v="2025-03-01T00:00:00"/>
    <m/>
    <n v="17409.73"/>
    <x v="3"/>
    <s v="Manutenção"/>
  </r>
  <r>
    <s v="P0107"/>
    <s v="C014"/>
    <s v="F001"/>
    <s v="Alpha Serviços"/>
    <d v="2025-05-01T00:00:00"/>
    <d v="2026-03-12T00:00:00"/>
    <n v="31023.29"/>
    <x v="0"/>
    <s v="Manutenção"/>
  </r>
  <r>
    <s v="P0108"/>
    <s v="C001"/>
    <s v="F001"/>
    <s v="Alpha Serviços"/>
    <d v="2025-11-01T00:00:00"/>
    <d v="2025-12-29T00:00:00"/>
    <n v="9038.4500000000007"/>
    <x v="0"/>
    <s v="Material"/>
  </r>
  <r>
    <s v="P0109"/>
    <s v="C017"/>
    <s v="F001"/>
    <s v="Alpha Serviços"/>
    <d v="2026-04-01T00:00:00"/>
    <m/>
    <n v="23787.94"/>
    <x v="1"/>
    <s v="Material"/>
  </r>
  <r>
    <s v="P0110"/>
    <s v="C007"/>
    <s v="F008"/>
    <s v="Higieniza Mais"/>
    <d v="2025-02-01T00:00:00"/>
    <d v="2025-10-16T00:00:00"/>
    <n v="54131.76"/>
    <x v="0"/>
    <s v="Suporte"/>
  </r>
  <r>
    <s v="P0111"/>
    <s v="C013"/>
    <s v="F003"/>
    <s v="Central Tech"/>
    <d v="2026-05-01T00:00:00"/>
    <d v="2025-06-02T00:00:00"/>
    <n v="8438.7900000000009"/>
    <x v="0"/>
    <s v="Suporte"/>
  </r>
  <r>
    <s v="P0112"/>
    <s v="C020"/>
    <s v="F008"/>
    <s v="Higieniza Mais"/>
    <d v="2025-08-01T00:00:00"/>
    <m/>
    <n v="39743.599999999999"/>
    <x v="2"/>
    <s v="Serviço avulso"/>
  </r>
  <r>
    <s v="P0113"/>
    <s v="C012"/>
    <s v="F006"/>
    <s v="Forte Logística"/>
    <d v="2026-02-01T00:00:00"/>
    <d v="2025-08-23T00:00:00"/>
    <n v="23135.1"/>
    <x v="0"/>
    <s v="Mensal"/>
  </r>
  <r>
    <s v="P0114"/>
    <s v="C002"/>
    <s v="F010"/>
    <s v="Prime Soluções"/>
    <d v="2025-10-01T00:00:00"/>
    <d v="2026-06-05T00:00:00"/>
    <n v="53075.39"/>
    <x v="0"/>
    <s v="Serviço avulso"/>
  </r>
  <r>
    <s v="P0115"/>
    <s v="C009"/>
    <s v="F007"/>
    <s v="Global Sistemas"/>
    <d v="2025-07-01T00:00:00"/>
    <d v="2026-06-23T00:00:00"/>
    <n v="22649.83"/>
    <x v="0"/>
    <s v="Manutenção"/>
  </r>
  <r>
    <s v="P0116"/>
    <s v="C009"/>
    <s v="F007"/>
    <s v="Global Sistemas"/>
    <d v="2025-07-01T00:00:00"/>
    <m/>
    <n v="18516.73"/>
    <x v="2"/>
    <s v="Serviço avulso"/>
  </r>
  <r>
    <s v="P0117"/>
    <s v="C013"/>
    <s v="F003"/>
    <s v="Central Tech"/>
    <d v="2025-04-01T00:00:00"/>
    <m/>
    <n v="7273.9"/>
    <x v="2"/>
    <s v="Serviço avulso"/>
  </r>
  <r>
    <s v="P0118"/>
    <s v="C008"/>
    <s v="F006"/>
    <s v="Forte Logística"/>
    <d v="2026-12-01T00:00:00"/>
    <m/>
    <n v="6857.26"/>
    <x v="1"/>
    <s v="Serviço avulso"/>
  </r>
  <r>
    <s v="P0119"/>
    <s v="C003"/>
    <s v="F004"/>
    <s v="Delta Segurança"/>
    <d v="2026-09-01T00:00:00"/>
    <m/>
    <n v="46851.72"/>
    <x v="1"/>
    <s v="Mensal"/>
  </r>
  <r>
    <s v="P0120"/>
    <s v="C015"/>
    <s v="F007"/>
    <s v="Global Sistemas"/>
    <d v="2025-08-01T00:00:00"/>
    <d v="2025-04-01T00:00:00"/>
    <n v="23495.63"/>
    <x v="0"/>
    <s v="Serviço avul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1C953-4545-450E-AC88-EA0688470750}" name="Tabela dinâmica5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J3:K8" firstHeaderRow="1" firstDataRow="1" firstDataCol="1"/>
  <pivotFields count="9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pagamento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09F23-16EE-4664-A8B8-11BBD74B634D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G3:H10" firstHeaderRow="1" firstDataRow="1" firstDataCol="1"/>
  <pivotFields count="15">
    <pivotField dataField="1"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7">
        <item x="0"/>
        <item x="4"/>
        <item x="3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demanda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A1A15-8C49-4BAB-AAB6-2867685E86D9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:E8" firstHeaderRow="1" firstDataRow="1" firstDataCol="1"/>
  <pivotFields count="15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emanda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B17BD-BC48-4FB2-A1FD-17AE56B99411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5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emanda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BEAE53D-B62C-4E9E-936F-9C5862966C8F}" autoFormatId="16" applyNumberFormats="0" applyBorderFormats="0" applyFontFormats="0" applyPatternFormats="0" applyAlignmentFormats="0" applyWidthHeightFormats="0">
  <queryTableRefresh nextId="16">
    <queryTableFields count="15">
      <queryTableField id="1" name="demanda_id" tableColumnId="1"/>
      <queryTableField id="2" name="contrato_id" tableColumnId="2"/>
      <queryTableField id="3" name="fornecedor_id" tableColumnId="3"/>
      <queryTableField id="4" name="fornecedor" tableColumnId="4"/>
      <queryTableField id="5" name="data_abertura" tableColumnId="5"/>
      <queryTableField id="6" name="data_limite" tableColumnId="6"/>
      <queryTableField id="7" name="data_conclusao" tableColumnId="7"/>
      <queryTableField id="8" name="categoria_demanda" tableColumnId="8"/>
      <queryTableField id="9" name="prioridade" tableColumnId="9"/>
      <queryTableField id="10" name="status_demanda" tableColumnId="10"/>
      <queryTableField id="11" name="sla_dias" tableColumnId="11"/>
      <queryTableField id="12" name="tempo_atendimento_dias" tableColumnId="12"/>
      <queryTableField id="13" name="sla_cumprido" tableColumnId="13"/>
      <queryTableField id="14" name="valor_estimado" tableColumnId="14"/>
      <queryTableField id="15" name="unidad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5C312A-A24A-49BB-A087-1DF0B1CC1A11}" autoFormatId="16" applyNumberFormats="0" applyBorderFormats="0" applyFontFormats="0" applyPatternFormats="0" applyAlignmentFormats="0" applyWidthHeightFormats="0">
  <queryTableRefresh nextId="11">
    <queryTableFields count="10">
      <queryTableField id="1" name="contrato_id" tableColumnId="1"/>
      <queryTableField id="2" name="fornecedor_id" tableColumnId="2"/>
      <queryTableField id="3" name="fornecedor" tableColumnId="3"/>
      <queryTableField id="4" name="objeto_contrato" tableColumnId="4"/>
      <queryTableField id="5" name="data_inicio" tableColumnId="5"/>
      <queryTableField id="6" name="data_fim" tableColumnId="6"/>
      <queryTableField id="7" name="valor_total_contrato" tableColumnId="7"/>
      <queryTableField id="8" name="status_contrato" tableColumnId="8"/>
      <queryTableField id="9" name="gestor_responsavel" tableColumnId="9"/>
      <queryTableField id="10" name="unidad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86D3B1A-CF44-4EAC-815F-F58AA7107F3B}" autoFormatId="16" applyNumberFormats="0" applyBorderFormats="0" applyFontFormats="0" applyPatternFormats="0" applyAlignmentFormats="0" applyWidthHeightFormats="0">
  <queryTableRefresh nextId="7">
    <queryTableFields count="6">
      <queryTableField id="1" name="fornecedor_id" tableColumnId="1"/>
      <queryTableField id="2" name="fornecedor" tableColumnId="2"/>
      <queryTableField id="3" name="categoria_fornecedor" tableColumnId="3"/>
      <queryTableField id="4" name="uf" tableColumnId="4"/>
      <queryTableField id="5" name="status_fornecedor" tableColumnId="5"/>
      <queryTableField id="6" name="avaliacao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87540F1-69F9-474F-A585-DD363C4A3E06}" autoFormatId="16" applyNumberFormats="0" applyBorderFormats="0" applyFontFormats="0" applyPatternFormats="0" applyAlignmentFormats="0" applyWidthHeightFormats="0">
  <queryTableRefresh nextId="10">
    <queryTableFields count="9">
      <queryTableField id="1" name="pagamento_id" tableColumnId="1"/>
      <queryTableField id="2" name="contrato_id" tableColumnId="2"/>
      <queryTableField id="3" name="fornecedor_id" tableColumnId="3"/>
      <queryTableField id="4" name="fornecedor" tableColumnId="4"/>
      <queryTableField id="5" name="competencia" tableColumnId="5"/>
      <queryTableField id="6" name="data_pagamento" tableColumnId="6"/>
      <queryTableField id="7" name="valor_pago" tableColumnId="7"/>
      <queryTableField id="8" name="status_pagamento" tableColumnId="8"/>
      <queryTableField id="9" name="tipo_despes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B6DD4-CA37-40E5-94AB-9028A7C3FBBA}" name="tbl_Demandas" displayName="tbl_Demandas" ref="A1:O241" tableType="queryTable" totalsRowShown="0">
  <autoFilter ref="A1:O241" xr:uid="{8A8B6DD4-CA37-40E5-94AB-9028A7C3FBBA}"/>
  <tableColumns count="15">
    <tableColumn id="1" xr3:uid="{BD13CD9F-B236-4989-977B-3FF948FA73B0}" uniqueName="1" name="demanda_id" queryTableFieldId="1" dataDxfId="33"/>
    <tableColumn id="2" xr3:uid="{475C1132-1EEB-44AA-A0D1-637A42572018}" uniqueName="2" name="contrato_id" queryTableFieldId="2" dataDxfId="32"/>
    <tableColumn id="3" xr3:uid="{35D7650B-B399-45DE-93E7-7847EB5FA400}" uniqueName="3" name="fornecedor_id" queryTableFieldId="3" dataDxfId="31"/>
    <tableColumn id="4" xr3:uid="{AEFF151D-F76B-495F-B917-B59795FD5448}" uniqueName="4" name="fornecedor" queryTableFieldId="4" dataDxfId="30"/>
    <tableColumn id="5" xr3:uid="{5E141CB4-6ED8-4D39-97A0-11B7EED905AE}" uniqueName="5" name="data_abertura" queryTableFieldId="5" dataDxfId="29"/>
    <tableColumn id="6" xr3:uid="{6097016D-584B-48ED-80DA-918A7F29DB30}" uniqueName="6" name="data_limite" queryTableFieldId="6" dataDxfId="28"/>
    <tableColumn id="7" xr3:uid="{E4EBD950-ABAA-4C04-BA66-C0E448114689}" uniqueName="7" name="data_conclusao" queryTableFieldId="7" dataDxfId="27"/>
    <tableColumn id="8" xr3:uid="{A56D9EE4-6782-4950-9218-42B1DBAA90DF}" uniqueName="8" name="categoria_demanda" queryTableFieldId="8" dataDxfId="26"/>
    <tableColumn id="9" xr3:uid="{D88B9334-C4A3-4F48-AD89-73937AC3893B}" uniqueName="9" name="prioridade" queryTableFieldId="9" dataDxfId="25"/>
    <tableColumn id="10" xr3:uid="{9A0FF637-E507-4CD6-836A-B57727DA3768}" uniqueName="10" name="status_demanda" queryTableFieldId="10" dataDxfId="24"/>
    <tableColumn id="11" xr3:uid="{49A4ED9D-4C55-4CB0-9522-B1FEE5D8A00F}" uniqueName="11" name="sla_dias" queryTableFieldId="11"/>
    <tableColumn id="12" xr3:uid="{088C1115-CCA8-40EB-810B-C19C2FC37012}" uniqueName="12" name="tempo_atendimento_dias" queryTableFieldId="12"/>
    <tableColumn id="13" xr3:uid="{8197ACFB-6FF9-4E44-B8BE-B3180D32DDE7}" uniqueName="13" name="sla_cumprido" queryTableFieldId="13" dataDxfId="23"/>
    <tableColumn id="14" xr3:uid="{8991DD8F-B186-41EA-A35D-24CCC28CAB28}" uniqueName="14" name="valor_estimado" queryTableFieldId="14"/>
    <tableColumn id="15" xr3:uid="{3AD5FF9D-F960-434E-8D6B-083B9BFD6C6E}" uniqueName="15" name="unidade" queryTableFieldId="15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3E84F9-E6C6-4E50-9CBA-AA040E845F6E}" name="tbl_Contratos" displayName="tbl_Contratos" ref="A1:J21" tableType="queryTable" totalsRowShown="0">
  <autoFilter ref="A1:J21" xr:uid="{C73E84F9-E6C6-4E50-9CBA-AA040E845F6E}"/>
  <tableColumns count="10">
    <tableColumn id="1" xr3:uid="{8E0C86C0-245F-41C4-BA24-2EEA411487A0}" uniqueName="1" name="contrato_id" queryTableFieldId="1" dataDxfId="21"/>
    <tableColumn id="2" xr3:uid="{296A299F-4E72-4E86-85D5-9EB175BABF63}" uniqueName="2" name="fornecedor_id" queryTableFieldId="2" dataDxfId="20"/>
    <tableColumn id="3" xr3:uid="{B55818A9-E714-4230-AB98-EE305A4A2083}" uniqueName="3" name="fornecedor" queryTableFieldId="3" dataDxfId="19"/>
    <tableColumn id="4" xr3:uid="{CE50CE06-9F1B-4D90-B72B-9C7AAC1A3ADB}" uniqueName="4" name="objeto_contrato" queryTableFieldId="4" dataDxfId="18"/>
    <tableColumn id="5" xr3:uid="{D5BB9650-FF4E-4FAE-ACAA-B7F0BE24F5D3}" uniqueName="5" name="data_inicio" queryTableFieldId="5" dataDxfId="17"/>
    <tableColumn id="6" xr3:uid="{15B3D776-C3EC-4180-B844-6974A3316FDC}" uniqueName="6" name="data_fim" queryTableFieldId="6" dataDxfId="16"/>
    <tableColumn id="7" xr3:uid="{F1DD7B47-563F-43A8-8C03-5A032CE63FCD}" uniqueName="7" name="valor_total_contrato" queryTableFieldId="7"/>
    <tableColumn id="8" xr3:uid="{7746AC0A-ADB8-4CE6-9191-17B66E2F8035}" uniqueName="8" name="status_contrato" queryTableFieldId="8" dataDxfId="15"/>
    <tableColumn id="9" xr3:uid="{2EE992ED-CAAD-4DDB-B036-0CCFE86E8720}" uniqueName="9" name="gestor_responsavel" queryTableFieldId="9" dataDxfId="14"/>
    <tableColumn id="10" xr3:uid="{EFBE3E92-7E98-4534-B230-D0A0F67CA840}" uniqueName="10" name="unidade" queryTableFieldId="10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64877D-16F0-4A7B-A432-739FAB326E3D}" name="tbl_Fornecedores" displayName="tbl_Fornecedores" ref="A1:F11" tableType="queryTable" totalsRowShown="0">
  <autoFilter ref="A1:F11" xr:uid="{1464877D-16F0-4A7B-A432-739FAB326E3D}"/>
  <tableColumns count="6">
    <tableColumn id="1" xr3:uid="{82D8B3F3-9199-4B66-A86D-CFC0989D5C98}" uniqueName="1" name="fornecedor_id" queryTableFieldId="1" dataDxfId="12"/>
    <tableColumn id="2" xr3:uid="{1F52A1DF-05DC-45ED-BA18-1A8B116B6F15}" uniqueName="2" name="fornecedor" queryTableFieldId="2" dataDxfId="11"/>
    <tableColumn id="3" xr3:uid="{A5FAAA2E-9830-478E-8C0B-083EA2349F6D}" uniqueName="3" name="categoria_fornecedor" queryTableFieldId="3" dataDxfId="10"/>
    <tableColumn id="4" xr3:uid="{506D4421-9B87-4F26-9EF3-7E2D9F578DF9}" uniqueName="4" name="uf" queryTableFieldId="4" dataDxfId="9"/>
    <tableColumn id="5" xr3:uid="{7E880B50-FBBC-4CCC-85D6-D0A053E64037}" uniqueName="5" name="status_fornecedor" queryTableFieldId="5" dataDxfId="8"/>
    <tableColumn id="6" xr3:uid="{B93D08CD-EF3B-44F1-8F82-8B9998FD658B}" uniqueName="6" name="avaliacao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83A79-DA6D-4032-886B-932194530FCB}" name="tbl_Pagamentos" displayName="tbl_Pagamentos" ref="A1:I121" tableType="queryTable" totalsRowShown="0">
  <autoFilter ref="A1:I121" xr:uid="{06183A79-DA6D-4032-886B-932194530FCB}"/>
  <tableColumns count="9">
    <tableColumn id="1" xr3:uid="{4FF6F745-0D87-4FB6-B4AF-5B08578CAA46}" uniqueName="1" name="pagamento_id" queryTableFieldId="1" dataDxfId="7"/>
    <tableColumn id="2" xr3:uid="{82FA741C-E7B4-4BBE-A7B2-D5C5C5652AFC}" uniqueName="2" name="contrato_id" queryTableFieldId="2" dataDxfId="6"/>
    <tableColumn id="3" xr3:uid="{AC0E5EB7-A58F-4ACD-A073-50AE99BF0511}" uniqueName="3" name="fornecedor_id" queryTableFieldId="3" dataDxfId="5"/>
    <tableColumn id="4" xr3:uid="{17E71D6D-8261-4A0D-ABCA-F339B14A5243}" uniqueName="4" name="fornecedor" queryTableFieldId="4" dataDxfId="4"/>
    <tableColumn id="5" xr3:uid="{0BB0F89F-8615-464A-AB39-30AD04A3063E}" uniqueName="5" name="competencia" queryTableFieldId="5" dataDxfId="3"/>
    <tableColumn id="6" xr3:uid="{ABF41228-01E4-427F-A92E-890E956F33D1}" uniqueName="6" name="data_pagamento" queryTableFieldId="6" dataDxfId="2"/>
    <tableColumn id="7" xr3:uid="{44DC9132-A702-4D2D-8276-1DDE7FCFBCA0}" uniqueName="7" name="valor_pago" queryTableFieldId="7"/>
    <tableColumn id="8" xr3:uid="{4175436B-776A-47EF-991C-1FBB263755FC}" uniqueName="8" name="status_pagamento" queryTableFieldId="8" dataDxfId="1"/>
    <tableColumn id="9" xr3:uid="{A00C4386-FBD7-4114-B2B8-4339D076AB63}" uniqueName="9" name="tipo_despes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1765-53AA-4C47-A3DE-B95EB447C846}">
  <dimension ref="A1:O241"/>
  <sheetViews>
    <sheetView topLeftCell="A2" workbookViewId="0">
      <selection activeCell="A2" sqref="A2"/>
    </sheetView>
  </sheetViews>
  <sheetFormatPr defaultRowHeight="13.8"/>
  <cols>
    <col min="1" max="1" width="13.59765625" bestFit="1" customWidth="1"/>
    <col min="2" max="2" width="12.69921875" bestFit="1" customWidth="1"/>
    <col min="3" max="3" width="15.19921875" bestFit="1" customWidth="1"/>
    <col min="4" max="4" width="14.3984375" bestFit="1" customWidth="1"/>
    <col min="5" max="5" width="15" bestFit="1" customWidth="1"/>
    <col min="6" max="6" width="12.5" bestFit="1" customWidth="1"/>
    <col min="7" max="7" width="16.59765625" bestFit="1" customWidth="1"/>
    <col min="8" max="8" width="20.296875" bestFit="1" customWidth="1"/>
    <col min="9" max="9" width="11.796875" bestFit="1" customWidth="1"/>
    <col min="10" max="10" width="17.3984375" bestFit="1" customWidth="1"/>
    <col min="11" max="11" width="10" bestFit="1" customWidth="1"/>
    <col min="12" max="12" width="25.3984375" bestFit="1" customWidth="1"/>
    <col min="13" max="13" width="14.69921875" bestFit="1" customWidth="1"/>
    <col min="14" max="14" width="16.5" bestFit="1" customWidth="1"/>
    <col min="15" max="15" width="1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>
        <v>45836</v>
      </c>
      <c r="F2" s="2">
        <v>45846</v>
      </c>
      <c r="G2" s="2"/>
      <c r="H2" s="1" t="s">
        <v>19</v>
      </c>
      <c r="I2" s="1" t="s">
        <v>20</v>
      </c>
      <c r="J2" s="1" t="s">
        <v>21</v>
      </c>
      <c r="K2">
        <v>10</v>
      </c>
      <c r="L2">
        <v>12</v>
      </c>
      <c r="M2" s="1" t="s">
        <v>22</v>
      </c>
      <c r="N2">
        <v>15359.4</v>
      </c>
      <c r="O2" s="1" t="s">
        <v>23</v>
      </c>
    </row>
    <row r="3" spans="1:15">
      <c r="A3" s="1" t="s">
        <v>24</v>
      </c>
      <c r="B3" s="1" t="s">
        <v>25</v>
      </c>
      <c r="C3" s="1" t="s">
        <v>26</v>
      </c>
      <c r="D3" s="1" t="s">
        <v>27</v>
      </c>
      <c r="E3" s="2">
        <v>45703</v>
      </c>
      <c r="F3" s="2">
        <v>45718</v>
      </c>
      <c r="G3" s="2">
        <v>45707</v>
      </c>
      <c r="H3" s="1" t="s">
        <v>28</v>
      </c>
      <c r="I3" s="1" t="s">
        <v>29</v>
      </c>
      <c r="J3" s="1" t="s">
        <v>30</v>
      </c>
      <c r="K3">
        <v>15</v>
      </c>
      <c r="L3">
        <v>4</v>
      </c>
      <c r="M3" s="1" t="s">
        <v>31</v>
      </c>
      <c r="N3">
        <v>6616.22</v>
      </c>
      <c r="O3" s="1" t="s">
        <v>32</v>
      </c>
    </row>
    <row r="4" spans="1:15">
      <c r="A4" s="1" t="s">
        <v>33</v>
      </c>
      <c r="B4" s="1" t="s">
        <v>34</v>
      </c>
      <c r="C4" s="1" t="s">
        <v>35</v>
      </c>
      <c r="D4" s="1" t="s">
        <v>36</v>
      </c>
      <c r="E4" s="2">
        <v>45829</v>
      </c>
      <c r="F4" s="2">
        <v>45834</v>
      </c>
      <c r="G4" s="2">
        <v>45847</v>
      </c>
      <c r="H4" s="1" t="s">
        <v>37</v>
      </c>
      <c r="I4" s="1" t="s">
        <v>38</v>
      </c>
      <c r="J4" s="1" t="s">
        <v>30</v>
      </c>
      <c r="K4">
        <v>5</v>
      </c>
      <c r="L4">
        <v>18</v>
      </c>
      <c r="M4" s="1" t="s">
        <v>22</v>
      </c>
      <c r="N4">
        <v>7352.93</v>
      </c>
      <c r="O4" s="1" t="s">
        <v>39</v>
      </c>
    </row>
    <row r="5" spans="1:15">
      <c r="A5" s="1" t="s">
        <v>40</v>
      </c>
      <c r="B5" s="1" t="s">
        <v>16</v>
      </c>
      <c r="C5" s="1" t="s">
        <v>17</v>
      </c>
      <c r="D5" s="1" t="s">
        <v>18</v>
      </c>
      <c r="E5" s="2">
        <v>46199</v>
      </c>
      <c r="F5" s="2">
        <v>46201</v>
      </c>
      <c r="G5" s="2">
        <v>46215</v>
      </c>
      <c r="H5" s="1" t="s">
        <v>19</v>
      </c>
      <c r="I5" s="1" t="s">
        <v>41</v>
      </c>
      <c r="J5" s="1" t="s">
        <v>30</v>
      </c>
      <c r="K5">
        <v>2</v>
      </c>
      <c r="L5">
        <v>16</v>
      </c>
      <c r="M5" s="1" t="s">
        <v>22</v>
      </c>
      <c r="N5">
        <v>16316.94</v>
      </c>
      <c r="O5" s="1" t="s">
        <v>23</v>
      </c>
    </row>
    <row r="6" spans="1:15">
      <c r="A6" s="1" t="s">
        <v>42</v>
      </c>
      <c r="B6" s="1" t="s">
        <v>43</v>
      </c>
      <c r="C6" s="1" t="s">
        <v>35</v>
      </c>
      <c r="D6" s="1" t="s">
        <v>36</v>
      </c>
      <c r="E6" s="2">
        <v>45941</v>
      </c>
      <c r="F6" s="2">
        <v>45946</v>
      </c>
      <c r="G6" s="2">
        <v>45953</v>
      </c>
      <c r="H6" s="1" t="s">
        <v>44</v>
      </c>
      <c r="I6" s="1" t="s">
        <v>38</v>
      </c>
      <c r="J6" s="1" t="s">
        <v>30</v>
      </c>
      <c r="K6">
        <v>5</v>
      </c>
      <c r="L6">
        <v>12</v>
      </c>
      <c r="M6" s="1" t="s">
        <v>22</v>
      </c>
      <c r="N6">
        <v>20111.25</v>
      </c>
      <c r="O6" s="1" t="s">
        <v>39</v>
      </c>
    </row>
    <row r="7" spans="1:15">
      <c r="A7" s="1" t="s">
        <v>45</v>
      </c>
      <c r="B7" s="1" t="s">
        <v>46</v>
      </c>
      <c r="C7" s="1" t="s">
        <v>47</v>
      </c>
      <c r="D7" s="1" t="s">
        <v>48</v>
      </c>
      <c r="E7" s="2">
        <v>46057</v>
      </c>
      <c r="F7" s="2">
        <v>46072</v>
      </c>
      <c r="G7" s="2"/>
      <c r="H7" s="1" t="s">
        <v>49</v>
      </c>
      <c r="I7" s="1" t="s">
        <v>29</v>
      </c>
      <c r="J7" s="1" t="s">
        <v>50</v>
      </c>
      <c r="K7">
        <v>15</v>
      </c>
      <c r="M7" s="1" t="s">
        <v>51</v>
      </c>
      <c r="N7">
        <v>22265.91</v>
      </c>
      <c r="O7" s="1" t="s">
        <v>39</v>
      </c>
    </row>
    <row r="8" spans="1:15">
      <c r="A8" s="1" t="s">
        <v>52</v>
      </c>
      <c r="B8" s="1" t="s">
        <v>43</v>
      </c>
      <c r="C8" s="1" t="s">
        <v>35</v>
      </c>
      <c r="D8" s="1" t="s">
        <v>36</v>
      </c>
      <c r="E8" s="2">
        <v>46001</v>
      </c>
      <c r="F8" s="2">
        <v>46016</v>
      </c>
      <c r="G8" s="2"/>
      <c r="H8" s="1" t="s">
        <v>19</v>
      </c>
      <c r="I8" s="1" t="s">
        <v>29</v>
      </c>
      <c r="J8" s="1" t="s">
        <v>53</v>
      </c>
      <c r="K8">
        <v>15</v>
      </c>
      <c r="M8" s="1" t="s">
        <v>54</v>
      </c>
      <c r="N8">
        <v>11999.62</v>
      </c>
      <c r="O8" s="1" t="s">
        <v>39</v>
      </c>
    </row>
    <row r="9" spans="1:15">
      <c r="A9" s="1" t="s">
        <v>55</v>
      </c>
      <c r="B9" s="1" t="s">
        <v>34</v>
      </c>
      <c r="C9" s="1" t="s">
        <v>35</v>
      </c>
      <c r="D9" s="1" t="s">
        <v>36</v>
      </c>
      <c r="E9" s="2">
        <v>45827</v>
      </c>
      <c r="F9" s="2">
        <v>45837</v>
      </c>
      <c r="G9" s="2"/>
      <c r="H9" s="1" t="s">
        <v>44</v>
      </c>
      <c r="I9" s="1" t="s">
        <v>20</v>
      </c>
      <c r="J9" s="1" t="s">
        <v>50</v>
      </c>
      <c r="K9">
        <v>10</v>
      </c>
      <c r="M9" s="1" t="s">
        <v>51</v>
      </c>
      <c r="N9">
        <v>13259.03</v>
      </c>
      <c r="O9" s="1" t="s">
        <v>39</v>
      </c>
    </row>
    <row r="10" spans="1:15">
      <c r="A10" s="1" t="s">
        <v>56</v>
      </c>
      <c r="B10" s="1" t="s">
        <v>57</v>
      </c>
      <c r="C10" s="1" t="s">
        <v>58</v>
      </c>
      <c r="D10" s="1" t="s">
        <v>59</v>
      </c>
      <c r="E10" s="2">
        <v>46144</v>
      </c>
      <c r="F10" s="2">
        <v>46159</v>
      </c>
      <c r="G10" s="2"/>
      <c r="H10" s="1" t="s">
        <v>60</v>
      </c>
      <c r="I10" s="1" t="s">
        <v>29</v>
      </c>
      <c r="J10" s="1" t="s">
        <v>53</v>
      </c>
      <c r="K10">
        <v>15</v>
      </c>
      <c r="M10" s="1" t="s">
        <v>54</v>
      </c>
      <c r="N10">
        <v>7292.62</v>
      </c>
      <c r="O10" s="1" t="s">
        <v>39</v>
      </c>
    </row>
    <row r="11" spans="1:15">
      <c r="A11" s="1" t="s">
        <v>61</v>
      </c>
      <c r="B11" s="1" t="s">
        <v>34</v>
      </c>
      <c r="C11" s="1" t="s">
        <v>35</v>
      </c>
      <c r="D11" s="1" t="s">
        <v>36</v>
      </c>
      <c r="E11" s="2">
        <v>45691</v>
      </c>
      <c r="F11" s="2">
        <v>45696</v>
      </c>
      <c r="G11" s="2"/>
      <c r="H11" s="1" t="s">
        <v>60</v>
      </c>
      <c r="I11" s="1" t="s">
        <v>38</v>
      </c>
      <c r="J11" s="1" t="s">
        <v>50</v>
      </c>
      <c r="K11">
        <v>5</v>
      </c>
      <c r="M11" s="1" t="s">
        <v>51</v>
      </c>
      <c r="N11">
        <v>12327.54</v>
      </c>
      <c r="O11" s="1" t="s">
        <v>39</v>
      </c>
    </row>
    <row r="12" spans="1:15">
      <c r="A12" s="1" t="s">
        <v>62</v>
      </c>
      <c r="B12" s="1" t="s">
        <v>57</v>
      </c>
      <c r="C12" s="1" t="s">
        <v>58</v>
      </c>
      <c r="D12" s="1" t="s">
        <v>59</v>
      </c>
      <c r="E12" s="2">
        <v>45687</v>
      </c>
      <c r="F12" s="2">
        <v>45689</v>
      </c>
      <c r="G12" s="2"/>
      <c r="H12" s="1" t="s">
        <v>60</v>
      </c>
      <c r="I12" s="1" t="s">
        <v>41</v>
      </c>
      <c r="J12" s="1" t="s">
        <v>21</v>
      </c>
      <c r="K12">
        <v>2</v>
      </c>
      <c r="L12">
        <v>19</v>
      </c>
      <c r="M12" s="1" t="s">
        <v>22</v>
      </c>
      <c r="N12">
        <v>580.9</v>
      </c>
      <c r="O12" s="1" t="s">
        <v>39</v>
      </c>
    </row>
    <row r="13" spans="1:15">
      <c r="A13" s="1" t="s">
        <v>63</v>
      </c>
      <c r="B13" s="1" t="s">
        <v>64</v>
      </c>
      <c r="C13" s="1" t="s">
        <v>65</v>
      </c>
      <c r="D13" s="1" t="s">
        <v>66</v>
      </c>
      <c r="E13" s="2">
        <v>46146</v>
      </c>
      <c r="F13" s="2">
        <v>46151</v>
      </c>
      <c r="G13" s="2"/>
      <c r="H13" s="1" t="s">
        <v>60</v>
      </c>
      <c r="I13" s="1" t="s">
        <v>38</v>
      </c>
      <c r="J13" s="1" t="s">
        <v>50</v>
      </c>
      <c r="K13">
        <v>5</v>
      </c>
      <c r="M13" s="1" t="s">
        <v>51</v>
      </c>
      <c r="N13">
        <v>7374.7</v>
      </c>
      <c r="O13" s="1" t="s">
        <v>32</v>
      </c>
    </row>
    <row r="14" spans="1:15">
      <c r="A14" s="1" t="s">
        <v>67</v>
      </c>
      <c r="B14" s="1" t="s">
        <v>68</v>
      </c>
      <c r="C14" s="1" t="s">
        <v>58</v>
      </c>
      <c r="D14" s="1" t="s">
        <v>59</v>
      </c>
      <c r="E14" s="2">
        <v>45855</v>
      </c>
      <c r="F14" s="2">
        <v>45860</v>
      </c>
      <c r="G14" s="2"/>
      <c r="H14" s="1" t="s">
        <v>28</v>
      </c>
      <c r="I14" s="1" t="s">
        <v>38</v>
      </c>
      <c r="J14" s="1" t="s">
        <v>21</v>
      </c>
      <c r="K14">
        <v>5</v>
      </c>
      <c r="L14">
        <v>20</v>
      </c>
      <c r="M14" s="1" t="s">
        <v>22</v>
      </c>
      <c r="N14">
        <v>18057.54</v>
      </c>
      <c r="O14" s="1" t="s">
        <v>32</v>
      </c>
    </row>
    <row r="15" spans="1:15">
      <c r="A15" s="1" t="s">
        <v>69</v>
      </c>
      <c r="B15" s="1" t="s">
        <v>64</v>
      </c>
      <c r="C15" s="1" t="s">
        <v>65</v>
      </c>
      <c r="D15" s="1" t="s">
        <v>66</v>
      </c>
      <c r="E15" s="2">
        <v>45749</v>
      </c>
      <c r="F15" s="2">
        <v>45759</v>
      </c>
      <c r="G15" s="2"/>
      <c r="H15" s="1" t="s">
        <v>19</v>
      </c>
      <c r="I15" s="1" t="s">
        <v>20</v>
      </c>
      <c r="J15" s="1" t="s">
        <v>21</v>
      </c>
      <c r="K15">
        <v>10</v>
      </c>
      <c r="L15">
        <v>12</v>
      </c>
      <c r="M15" s="1" t="s">
        <v>22</v>
      </c>
      <c r="N15">
        <v>5437.46</v>
      </c>
      <c r="O15" s="1" t="s">
        <v>32</v>
      </c>
    </row>
    <row r="16" spans="1:15">
      <c r="A16" s="1" t="s">
        <v>70</v>
      </c>
      <c r="B16" s="1" t="s">
        <v>71</v>
      </c>
      <c r="C16" s="1" t="s">
        <v>72</v>
      </c>
      <c r="D16" s="1" t="s">
        <v>73</v>
      </c>
      <c r="E16" s="2">
        <v>45792</v>
      </c>
      <c r="F16" s="2">
        <v>45802</v>
      </c>
      <c r="G16" s="2"/>
      <c r="H16" s="1" t="s">
        <v>37</v>
      </c>
      <c r="I16" s="1" t="s">
        <v>20</v>
      </c>
      <c r="J16" s="1" t="s">
        <v>50</v>
      </c>
      <c r="K16">
        <v>10</v>
      </c>
      <c r="M16" s="1" t="s">
        <v>51</v>
      </c>
      <c r="N16">
        <v>21355.73</v>
      </c>
      <c r="O16" s="1" t="s">
        <v>39</v>
      </c>
    </row>
    <row r="17" spans="1:15">
      <c r="A17" s="1" t="s">
        <v>74</v>
      </c>
      <c r="B17" s="1" t="s">
        <v>68</v>
      </c>
      <c r="C17" s="1" t="s">
        <v>58</v>
      </c>
      <c r="D17" s="1" t="s">
        <v>59</v>
      </c>
      <c r="E17" s="2">
        <v>46175</v>
      </c>
      <c r="F17" s="2">
        <v>46190</v>
      </c>
      <c r="G17" s="2"/>
      <c r="H17" s="1" t="s">
        <v>44</v>
      </c>
      <c r="I17" s="1" t="s">
        <v>29</v>
      </c>
      <c r="J17" s="1" t="s">
        <v>21</v>
      </c>
      <c r="K17">
        <v>15</v>
      </c>
      <c r="L17">
        <v>23</v>
      </c>
      <c r="M17" s="1" t="s">
        <v>22</v>
      </c>
      <c r="N17">
        <v>23968.81</v>
      </c>
      <c r="O17" s="1" t="s">
        <v>32</v>
      </c>
    </row>
    <row r="18" spans="1:15">
      <c r="A18" s="1" t="s">
        <v>75</v>
      </c>
      <c r="B18" s="1" t="s">
        <v>76</v>
      </c>
      <c r="C18" s="1" t="s">
        <v>77</v>
      </c>
      <c r="D18" s="1" t="s">
        <v>78</v>
      </c>
      <c r="E18" s="2">
        <v>45998</v>
      </c>
      <c r="F18" s="2">
        <v>46008</v>
      </c>
      <c r="G18" s="2">
        <v>46000</v>
      </c>
      <c r="H18" s="1" t="s">
        <v>44</v>
      </c>
      <c r="I18" s="1" t="s">
        <v>20</v>
      </c>
      <c r="J18" s="1" t="s">
        <v>30</v>
      </c>
      <c r="K18">
        <v>10</v>
      </c>
      <c r="L18">
        <v>2</v>
      </c>
      <c r="M18" s="1" t="s">
        <v>31</v>
      </c>
      <c r="N18">
        <v>2075.81</v>
      </c>
      <c r="O18" s="1" t="s">
        <v>79</v>
      </c>
    </row>
    <row r="19" spans="1:15">
      <c r="A19" s="1" t="s">
        <v>80</v>
      </c>
      <c r="B19" s="1" t="s">
        <v>68</v>
      </c>
      <c r="C19" s="1" t="s">
        <v>58</v>
      </c>
      <c r="D19" s="1" t="s">
        <v>59</v>
      </c>
      <c r="E19" s="2">
        <v>45786</v>
      </c>
      <c r="F19" s="2">
        <v>45791</v>
      </c>
      <c r="G19" s="2">
        <v>45795</v>
      </c>
      <c r="H19" s="1" t="s">
        <v>37</v>
      </c>
      <c r="I19" s="1" t="s">
        <v>38</v>
      </c>
      <c r="J19" s="1" t="s">
        <v>30</v>
      </c>
      <c r="K19">
        <v>5</v>
      </c>
      <c r="L19">
        <v>9</v>
      </c>
      <c r="M19" s="1" t="s">
        <v>22</v>
      </c>
      <c r="N19">
        <v>18691.63</v>
      </c>
      <c r="O19" s="1" t="s">
        <v>32</v>
      </c>
    </row>
    <row r="20" spans="1:15">
      <c r="A20" s="1" t="s">
        <v>81</v>
      </c>
      <c r="B20" s="1" t="s">
        <v>64</v>
      </c>
      <c r="C20" s="1" t="s">
        <v>65</v>
      </c>
      <c r="D20" s="1" t="s">
        <v>66</v>
      </c>
      <c r="E20" s="2">
        <v>46108</v>
      </c>
      <c r="F20" s="2">
        <v>46118</v>
      </c>
      <c r="G20" s="2">
        <v>46125</v>
      </c>
      <c r="H20" s="1" t="s">
        <v>60</v>
      </c>
      <c r="I20" s="1" t="s">
        <v>20</v>
      </c>
      <c r="J20" s="1" t="s">
        <v>30</v>
      </c>
      <c r="K20">
        <v>10</v>
      </c>
      <c r="L20">
        <v>17</v>
      </c>
      <c r="M20" s="1" t="s">
        <v>22</v>
      </c>
      <c r="N20">
        <v>5752.96</v>
      </c>
      <c r="O20" s="1" t="s">
        <v>32</v>
      </c>
    </row>
    <row r="21" spans="1:15">
      <c r="A21" s="1" t="s">
        <v>82</v>
      </c>
      <c r="B21" s="1" t="s">
        <v>83</v>
      </c>
      <c r="C21" s="1" t="s">
        <v>17</v>
      </c>
      <c r="D21" s="1" t="s">
        <v>18</v>
      </c>
      <c r="E21" s="2">
        <v>46038</v>
      </c>
      <c r="F21" s="2">
        <v>46053</v>
      </c>
      <c r="G21" s="2">
        <v>46055</v>
      </c>
      <c r="H21" s="1" t="s">
        <v>44</v>
      </c>
      <c r="I21" s="1" t="s">
        <v>29</v>
      </c>
      <c r="J21" s="1" t="s">
        <v>30</v>
      </c>
      <c r="K21">
        <v>15</v>
      </c>
      <c r="L21">
        <v>17</v>
      </c>
      <c r="M21" s="1" t="s">
        <v>22</v>
      </c>
      <c r="N21">
        <v>13637.15</v>
      </c>
      <c r="O21" s="1" t="s">
        <v>23</v>
      </c>
    </row>
    <row r="22" spans="1:15">
      <c r="A22" s="1" t="s">
        <v>84</v>
      </c>
      <c r="B22" s="1" t="s">
        <v>71</v>
      </c>
      <c r="C22" s="1" t="s">
        <v>72</v>
      </c>
      <c r="D22" s="1" t="s">
        <v>73</v>
      </c>
      <c r="E22" s="2">
        <v>45914</v>
      </c>
      <c r="F22" s="2">
        <v>45919</v>
      </c>
      <c r="G22" s="2">
        <v>45918</v>
      </c>
      <c r="H22" s="1" t="s">
        <v>28</v>
      </c>
      <c r="I22" s="1" t="s">
        <v>38</v>
      </c>
      <c r="J22" s="1" t="s">
        <v>30</v>
      </c>
      <c r="K22">
        <v>5</v>
      </c>
      <c r="L22">
        <v>4</v>
      </c>
      <c r="M22" s="1" t="s">
        <v>31</v>
      </c>
      <c r="N22">
        <v>18802.89</v>
      </c>
      <c r="O22" s="1" t="s">
        <v>39</v>
      </c>
    </row>
    <row r="23" spans="1:15">
      <c r="A23" s="1" t="s">
        <v>85</v>
      </c>
      <c r="B23" s="1" t="s">
        <v>86</v>
      </c>
      <c r="C23" s="1" t="s">
        <v>47</v>
      </c>
      <c r="D23" s="1" t="s">
        <v>48</v>
      </c>
      <c r="E23" s="2">
        <v>46046</v>
      </c>
      <c r="F23" s="2">
        <v>46051</v>
      </c>
      <c r="G23" s="2"/>
      <c r="H23" s="1" t="s">
        <v>60</v>
      </c>
      <c r="I23" s="1" t="s">
        <v>38</v>
      </c>
      <c r="J23" s="1" t="s">
        <v>53</v>
      </c>
      <c r="K23">
        <v>5</v>
      </c>
      <c r="M23" s="1" t="s">
        <v>54</v>
      </c>
      <c r="N23">
        <v>11116.79</v>
      </c>
      <c r="O23" s="1" t="s">
        <v>79</v>
      </c>
    </row>
    <row r="24" spans="1:15">
      <c r="A24" s="1" t="s">
        <v>87</v>
      </c>
      <c r="B24" s="1" t="s">
        <v>16</v>
      </c>
      <c r="C24" s="1" t="s">
        <v>17</v>
      </c>
      <c r="D24" s="1" t="s">
        <v>18</v>
      </c>
      <c r="E24" s="2">
        <v>45684</v>
      </c>
      <c r="F24" s="2">
        <v>45699</v>
      </c>
      <c r="G24" s="2"/>
      <c r="H24" s="1" t="s">
        <v>19</v>
      </c>
      <c r="I24" s="1" t="s">
        <v>29</v>
      </c>
      <c r="J24" s="1" t="s">
        <v>21</v>
      </c>
      <c r="K24">
        <v>15</v>
      </c>
      <c r="L24">
        <v>31</v>
      </c>
      <c r="M24" s="1" t="s">
        <v>22</v>
      </c>
      <c r="N24">
        <v>10552.93</v>
      </c>
      <c r="O24" s="1" t="s">
        <v>23</v>
      </c>
    </row>
    <row r="25" spans="1:15">
      <c r="A25" s="1" t="s">
        <v>88</v>
      </c>
      <c r="B25" s="1" t="s">
        <v>46</v>
      </c>
      <c r="C25" s="1" t="s">
        <v>47</v>
      </c>
      <c r="D25" s="1" t="s">
        <v>48</v>
      </c>
      <c r="E25" s="2">
        <v>45906</v>
      </c>
      <c r="F25" s="2">
        <v>45908</v>
      </c>
      <c r="G25" s="2"/>
      <c r="H25" s="1" t="s">
        <v>19</v>
      </c>
      <c r="I25" s="1" t="s">
        <v>41</v>
      </c>
      <c r="J25" s="1" t="s">
        <v>50</v>
      </c>
      <c r="K25">
        <v>2</v>
      </c>
      <c r="M25" s="1" t="s">
        <v>51</v>
      </c>
      <c r="N25">
        <v>1371.32</v>
      </c>
      <c r="O25" s="1" t="s">
        <v>39</v>
      </c>
    </row>
    <row r="26" spans="1:15">
      <c r="A26" s="1" t="s">
        <v>89</v>
      </c>
      <c r="B26" s="1" t="s">
        <v>34</v>
      </c>
      <c r="C26" s="1" t="s">
        <v>35</v>
      </c>
      <c r="D26" s="1" t="s">
        <v>36</v>
      </c>
      <c r="E26" s="2">
        <v>46056</v>
      </c>
      <c r="F26" s="2">
        <v>46066</v>
      </c>
      <c r="G26" s="2"/>
      <c r="H26" s="1" t="s">
        <v>28</v>
      </c>
      <c r="I26" s="1" t="s">
        <v>20</v>
      </c>
      <c r="J26" s="1" t="s">
        <v>50</v>
      </c>
      <c r="K26">
        <v>10</v>
      </c>
      <c r="M26" s="1" t="s">
        <v>51</v>
      </c>
      <c r="N26">
        <v>8812.66</v>
      </c>
      <c r="O26" s="1" t="s">
        <v>39</v>
      </c>
    </row>
    <row r="27" spans="1:15">
      <c r="A27" s="1" t="s">
        <v>90</v>
      </c>
      <c r="B27" s="1" t="s">
        <v>64</v>
      </c>
      <c r="C27" s="1" t="s">
        <v>65</v>
      </c>
      <c r="D27" s="1" t="s">
        <v>66</v>
      </c>
      <c r="E27" s="2">
        <v>46075</v>
      </c>
      <c r="F27" s="2">
        <v>46090</v>
      </c>
      <c r="G27" s="2"/>
      <c r="H27" s="1" t="s">
        <v>28</v>
      </c>
      <c r="I27" s="1" t="s">
        <v>29</v>
      </c>
      <c r="J27" s="1" t="s">
        <v>50</v>
      </c>
      <c r="K27">
        <v>15</v>
      </c>
      <c r="M27" s="1" t="s">
        <v>51</v>
      </c>
      <c r="N27">
        <v>17066.95</v>
      </c>
      <c r="O27" s="1" t="s">
        <v>32</v>
      </c>
    </row>
    <row r="28" spans="1:15">
      <c r="A28" s="1" t="s">
        <v>91</v>
      </c>
      <c r="B28" s="1" t="s">
        <v>92</v>
      </c>
      <c r="C28" s="1" t="s">
        <v>93</v>
      </c>
      <c r="D28" s="1" t="s">
        <v>94</v>
      </c>
      <c r="E28" s="2">
        <v>45696</v>
      </c>
      <c r="F28" s="2">
        <v>45706</v>
      </c>
      <c r="G28" s="2"/>
      <c r="H28" s="1" t="s">
        <v>37</v>
      </c>
      <c r="I28" s="1" t="s">
        <v>20</v>
      </c>
      <c r="J28" s="1" t="s">
        <v>21</v>
      </c>
      <c r="K28">
        <v>10</v>
      </c>
      <c r="L28">
        <v>27</v>
      </c>
      <c r="M28" s="1" t="s">
        <v>22</v>
      </c>
      <c r="N28">
        <v>11362.69</v>
      </c>
      <c r="O28" s="1" t="s">
        <v>95</v>
      </c>
    </row>
    <row r="29" spans="1:15">
      <c r="A29" s="1" t="s">
        <v>96</v>
      </c>
      <c r="B29" s="1" t="s">
        <v>97</v>
      </c>
      <c r="C29" s="1" t="s">
        <v>58</v>
      </c>
      <c r="D29" s="1" t="s">
        <v>59</v>
      </c>
      <c r="E29" s="2">
        <v>45963</v>
      </c>
      <c r="F29" s="2">
        <v>45965</v>
      </c>
      <c r="G29" s="2"/>
      <c r="H29" s="1" t="s">
        <v>28</v>
      </c>
      <c r="I29" s="1" t="s">
        <v>41</v>
      </c>
      <c r="J29" s="1" t="s">
        <v>21</v>
      </c>
      <c r="K29">
        <v>2</v>
      </c>
      <c r="L29">
        <v>20</v>
      </c>
      <c r="M29" s="1" t="s">
        <v>22</v>
      </c>
      <c r="N29">
        <v>11894.56</v>
      </c>
      <c r="O29" s="1" t="s">
        <v>39</v>
      </c>
    </row>
    <row r="30" spans="1:15">
      <c r="A30" s="1" t="s">
        <v>98</v>
      </c>
      <c r="B30" s="1" t="s">
        <v>57</v>
      </c>
      <c r="C30" s="1" t="s">
        <v>58</v>
      </c>
      <c r="D30" s="1" t="s">
        <v>59</v>
      </c>
      <c r="E30" s="2">
        <v>45753</v>
      </c>
      <c r="F30" s="2">
        <v>45768</v>
      </c>
      <c r="G30" s="2"/>
      <c r="H30" s="1" t="s">
        <v>49</v>
      </c>
      <c r="I30" s="1" t="s">
        <v>29</v>
      </c>
      <c r="J30" s="1" t="s">
        <v>53</v>
      </c>
      <c r="K30">
        <v>15</v>
      </c>
      <c r="M30" s="1" t="s">
        <v>54</v>
      </c>
      <c r="N30">
        <v>22029.119999999999</v>
      </c>
      <c r="O30" s="1" t="s">
        <v>39</v>
      </c>
    </row>
    <row r="31" spans="1:15">
      <c r="A31" s="1" t="s">
        <v>99</v>
      </c>
      <c r="B31" s="1" t="s">
        <v>100</v>
      </c>
      <c r="C31" s="1" t="s">
        <v>47</v>
      </c>
      <c r="D31" s="1" t="s">
        <v>48</v>
      </c>
      <c r="E31" s="2">
        <v>45826</v>
      </c>
      <c r="F31" s="2">
        <v>45836</v>
      </c>
      <c r="G31" s="2"/>
      <c r="H31" s="1" t="s">
        <v>28</v>
      </c>
      <c r="I31" s="1" t="s">
        <v>20</v>
      </c>
      <c r="J31" s="1" t="s">
        <v>53</v>
      </c>
      <c r="K31">
        <v>10</v>
      </c>
      <c r="M31" s="1" t="s">
        <v>54</v>
      </c>
      <c r="N31">
        <v>4394.22</v>
      </c>
      <c r="O31" s="1" t="s">
        <v>39</v>
      </c>
    </row>
    <row r="32" spans="1:15">
      <c r="A32" s="1" t="s">
        <v>101</v>
      </c>
      <c r="B32" s="1" t="s">
        <v>43</v>
      </c>
      <c r="C32" s="1" t="s">
        <v>35</v>
      </c>
      <c r="D32" s="1" t="s">
        <v>36</v>
      </c>
      <c r="E32" s="2">
        <v>45999</v>
      </c>
      <c r="F32" s="2">
        <v>46004</v>
      </c>
      <c r="G32" s="2">
        <v>46012</v>
      </c>
      <c r="H32" s="1" t="s">
        <v>37</v>
      </c>
      <c r="I32" s="1" t="s">
        <v>38</v>
      </c>
      <c r="J32" s="1" t="s">
        <v>30</v>
      </c>
      <c r="K32">
        <v>5</v>
      </c>
      <c r="L32">
        <v>13</v>
      </c>
      <c r="M32" s="1" t="s">
        <v>22</v>
      </c>
      <c r="N32">
        <v>10980.19</v>
      </c>
      <c r="O32" s="1" t="s">
        <v>39</v>
      </c>
    </row>
    <row r="33" spans="1:15">
      <c r="A33" s="1" t="s">
        <v>102</v>
      </c>
      <c r="B33" s="1" t="s">
        <v>43</v>
      </c>
      <c r="C33" s="1" t="s">
        <v>35</v>
      </c>
      <c r="D33" s="1" t="s">
        <v>36</v>
      </c>
      <c r="E33" s="2">
        <v>45691</v>
      </c>
      <c r="F33" s="2">
        <v>45693</v>
      </c>
      <c r="G33" s="2"/>
      <c r="H33" s="1" t="s">
        <v>28</v>
      </c>
      <c r="I33" s="1" t="s">
        <v>41</v>
      </c>
      <c r="J33" s="1" t="s">
        <v>53</v>
      </c>
      <c r="K33">
        <v>2</v>
      </c>
      <c r="M33" s="1" t="s">
        <v>54</v>
      </c>
      <c r="N33">
        <v>14571.51</v>
      </c>
      <c r="O33" s="1" t="s">
        <v>39</v>
      </c>
    </row>
    <row r="34" spans="1:15">
      <c r="A34" s="1" t="s">
        <v>103</v>
      </c>
      <c r="B34" s="1" t="s">
        <v>71</v>
      </c>
      <c r="C34" s="1" t="s">
        <v>72</v>
      </c>
      <c r="D34" s="1" t="s">
        <v>73</v>
      </c>
      <c r="E34" s="2">
        <v>46110</v>
      </c>
      <c r="F34" s="2">
        <v>46120</v>
      </c>
      <c r="G34" s="2"/>
      <c r="H34" s="1" t="s">
        <v>19</v>
      </c>
      <c r="I34" s="1" t="s">
        <v>20</v>
      </c>
      <c r="J34" s="1" t="s">
        <v>21</v>
      </c>
      <c r="K34">
        <v>10</v>
      </c>
      <c r="L34">
        <v>29</v>
      </c>
      <c r="M34" s="1" t="s">
        <v>22</v>
      </c>
      <c r="N34">
        <v>18192.79</v>
      </c>
      <c r="O34" s="1" t="s">
        <v>39</v>
      </c>
    </row>
    <row r="35" spans="1:15">
      <c r="A35" s="1" t="s">
        <v>104</v>
      </c>
      <c r="B35" s="1" t="s">
        <v>105</v>
      </c>
      <c r="C35" s="1" t="s">
        <v>106</v>
      </c>
      <c r="D35" s="1" t="s">
        <v>107</v>
      </c>
      <c r="E35" s="2">
        <v>45721</v>
      </c>
      <c r="F35" s="2">
        <v>45726</v>
      </c>
      <c r="G35" s="2">
        <v>45727</v>
      </c>
      <c r="H35" s="1" t="s">
        <v>28</v>
      </c>
      <c r="I35" s="1" t="s">
        <v>38</v>
      </c>
      <c r="J35" s="1" t="s">
        <v>30</v>
      </c>
      <c r="K35">
        <v>5</v>
      </c>
      <c r="L35">
        <v>6</v>
      </c>
      <c r="M35" s="1" t="s">
        <v>22</v>
      </c>
      <c r="N35">
        <v>7890.65</v>
      </c>
      <c r="O35" s="1" t="s">
        <v>32</v>
      </c>
    </row>
    <row r="36" spans="1:15">
      <c r="A36" s="1" t="s">
        <v>108</v>
      </c>
      <c r="B36" s="1" t="s">
        <v>100</v>
      </c>
      <c r="C36" s="1" t="s">
        <v>47</v>
      </c>
      <c r="D36" s="1" t="s">
        <v>48</v>
      </c>
      <c r="E36" s="2">
        <v>46127</v>
      </c>
      <c r="F36" s="2">
        <v>46137</v>
      </c>
      <c r="G36" s="2">
        <v>46139</v>
      </c>
      <c r="H36" s="1" t="s">
        <v>37</v>
      </c>
      <c r="I36" s="1" t="s">
        <v>20</v>
      </c>
      <c r="J36" s="1" t="s">
        <v>30</v>
      </c>
      <c r="K36">
        <v>10</v>
      </c>
      <c r="L36">
        <v>12</v>
      </c>
      <c r="M36" s="1" t="s">
        <v>22</v>
      </c>
      <c r="N36">
        <v>5494.92</v>
      </c>
      <c r="O36" s="1" t="s">
        <v>39</v>
      </c>
    </row>
    <row r="37" spans="1:15">
      <c r="A37" s="1" t="s">
        <v>109</v>
      </c>
      <c r="B37" s="1" t="s">
        <v>83</v>
      </c>
      <c r="C37" s="1" t="s">
        <v>17</v>
      </c>
      <c r="D37" s="1" t="s">
        <v>18</v>
      </c>
      <c r="E37" s="2">
        <v>45824</v>
      </c>
      <c r="F37" s="2">
        <v>45829</v>
      </c>
      <c r="G37" s="2">
        <v>45830</v>
      </c>
      <c r="H37" s="1" t="s">
        <v>28</v>
      </c>
      <c r="I37" s="1" t="s">
        <v>38</v>
      </c>
      <c r="J37" s="1" t="s">
        <v>30</v>
      </c>
      <c r="K37">
        <v>5</v>
      </c>
      <c r="L37">
        <v>6</v>
      </c>
      <c r="M37" s="1" t="s">
        <v>22</v>
      </c>
      <c r="N37">
        <v>18974.740000000002</v>
      </c>
      <c r="O37" s="1" t="s">
        <v>23</v>
      </c>
    </row>
    <row r="38" spans="1:15">
      <c r="A38" s="1" t="s">
        <v>110</v>
      </c>
      <c r="B38" s="1" t="s">
        <v>57</v>
      </c>
      <c r="C38" s="1" t="s">
        <v>58</v>
      </c>
      <c r="D38" s="1" t="s">
        <v>59</v>
      </c>
      <c r="E38" s="2">
        <v>45815</v>
      </c>
      <c r="F38" s="2">
        <v>45830</v>
      </c>
      <c r="G38" s="2"/>
      <c r="H38" s="1" t="s">
        <v>60</v>
      </c>
      <c r="I38" s="1" t="s">
        <v>29</v>
      </c>
      <c r="J38" s="1" t="s">
        <v>53</v>
      </c>
      <c r="K38">
        <v>15</v>
      </c>
      <c r="M38" s="1" t="s">
        <v>54</v>
      </c>
      <c r="N38">
        <v>24029.5</v>
      </c>
      <c r="O38" s="1" t="s">
        <v>39</v>
      </c>
    </row>
    <row r="39" spans="1:15">
      <c r="A39" s="1" t="s">
        <v>111</v>
      </c>
      <c r="B39" s="1" t="s">
        <v>112</v>
      </c>
      <c r="C39" s="1" t="s">
        <v>17</v>
      </c>
      <c r="D39" s="1" t="s">
        <v>18</v>
      </c>
      <c r="E39" s="2">
        <v>45859</v>
      </c>
      <c r="F39" s="2">
        <v>45869</v>
      </c>
      <c r="G39" s="2"/>
      <c r="H39" s="1" t="s">
        <v>28</v>
      </c>
      <c r="I39" s="1" t="s">
        <v>20</v>
      </c>
      <c r="J39" s="1" t="s">
        <v>53</v>
      </c>
      <c r="K39">
        <v>10</v>
      </c>
      <c r="M39" s="1" t="s">
        <v>54</v>
      </c>
      <c r="N39">
        <v>14060.89</v>
      </c>
      <c r="O39" s="1" t="s">
        <v>95</v>
      </c>
    </row>
    <row r="40" spans="1:15">
      <c r="A40" s="1" t="s">
        <v>113</v>
      </c>
      <c r="B40" s="1" t="s">
        <v>86</v>
      </c>
      <c r="C40" s="1" t="s">
        <v>47</v>
      </c>
      <c r="D40" s="1" t="s">
        <v>48</v>
      </c>
      <c r="E40" s="2">
        <v>45748</v>
      </c>
      <c r="F40" s="2">
        <v>45753</v>
      </c>
      <c r="G40" s="2">
        <v>45767</v>
      </c>
      <c r="H40" s="1" t="s">
        <v>28</v>
      </c>
      <c r="I40" s="1" t="s">
        <v>38</v>
      </c>
      <c r="J40" s="1" t="s">
        <v>30</v>
      </c>
      <c r="K40">
        <v>5</v>
      </c>
      <c r="L40">
        <v>19</v>
      </c>
      <c r="M40" s="1" t="s">
        <v>22</v>
      </c>
      <c r="N40">
        <v>10181.31</v>
      </c>
      <c r="O40" s="1" t="s">
        <v>79</v>
      </c>
    </row>
    <row r="41" spans="1:15">
      <c r="A41" s="1" t="s">
        <v>114</v>
      </c>
      <c r="B41" s="1" t="s">
        <v>115</v>
      </c>
      <c r="C41" s="1" t="s">
        <v>26</v>
      </c>
      <c r="D41" s="1" t="s">
        <v>27</v>
      </c>
      <c r="E41" s="2">
        <v>45795</v>
      </c>
      <c r="F41" s="2">
        <v>45810</v>
      </c>
      <c r="G41" s="2">
        <v>45804</v>
      </c>
      <c r="H41" s="1" t="s">
        <v>19</v>
      </c>
      <c r="I41" s="1" t="s">
        <v>29</v>
      </c>
      <c r="J41" s="1" t="s">
        <v>30</v>
      </c>
      <c r="K41">
        <v>15</v>
      </c>
      <c r="L41">
        <v>9</v>
      </c>
      <c r="M41" s="1" t="s">
        <v>31</v>
      </c>
      <c r="N41">
        <v>14747.61</v>
      </c>
      <c r="O41" s="1" t="s">
        <v>95</v>
      </c>
    </row>
    <row r="42" spans="1:15">
      <c r="A42" s="1" t="s">
        <v>116</v>
      </c>
      <c r="B42" s="1" t="s">
        <v>117</v>
      </c>
      <c r="C42" s="1" t="s">
        <v>93</v>
      </c>
      <c r="D42" s="1" t="s">
        <v>94</v>
      </c>
      <c r="E42" s="2">
        <v>46060</v>
      </c>
      <c r="F42" s="2">
        <v>46065</v>
      </c>
      <c r="G42" s="2">
        <v>46074</v>
      </c>
      <c r="H42" s="1" t="s">
        <v>60</v>
      </c>
      <c r="I42" s="1" t="s">
        <v>38</v>
      </c>
      <c r="J42" s="1" t="s">
        <v>30</v>
      </c>
      <c r="K42">
        <v>5</v>
      </c>
      <c r="L42">
        <v>14</v>
      </c>
      <c r="M42" s="1" t="s">
        <v>22</v>
      </c>
      <c r="N42">
        <v>22888.62</v>
      </c>
      <c r="O42" s="1" t="s">
        <v>95</v>
      </c>
    </row>
    <row r="43" spans="1:15">
      <c r="A43" s="1" t="s">
        <v>118</v>
      </c>
      <c r="B43" s="1" t="s">
        <v>25</v>
      </c>
      <c r="C43" s="1" t="s">
        <v>26</v>
      </c>
      <c r="D43" s="1" t="s">
        <v>27</v>
      </c>
      <c r="E43" s="2">
        <v>46180</v>
      </c>
      <c r="F43" s="2">
        <v>46182</v>
      </c>
      <c r="G43" s="2"/>
      <c r="H43" s="1" t="s">
        <v>44</v>
      </c>
      <c r="I43" s="1" t="s">
        <v>41</v>
      </c>
      <c r="J43" s="1" t="s">
        <v>53</v>
      </c>
      <c r="K43">
        <v>2</v>
      </c>
      <c r="M43" s="1" t="s">
        <v>54</v>
      </c>
      <c r="N43">
        <v>24395.56</v>
      </c>
      <c r="O43" s="1" t="s">
        <v>32</v>
      </c>
    </row>
    <row r="44" spans="1:15">
      <c r="A44" s="1" t="s">
        <v>119</v>
      </c>
      <c r="B44" s="1" t="s">
        <v>115</v>
      </c>
      <c r="C44" s="1" t="s">
        <v>26</v>
      </c>
      <c r="D44" s="1" t="s">
        <v>27</v>
      </c>
      <c r="E44" s="2">
        <v>45948</v>
      </c>
      <c r="F44" s="2">
        <v>45963</v>
      </c>
      <c r="G44" s="2"/>
      <c r="H44" s="1" t="s">
        <v>37</v>
      </c>
      <c r="I44" s="1" t="s">
        <v>29</v>
      </c>
      <c r="J44" s="1" t="s">
        <v>50</v>
      </c>
      <c r="K44">
        <v>15</v>
      </c>
      <c r="M44" s="1" t="s">
        <v>51</v>
      </c>
      <c r="N44">
        <v>17598.240000000002</v>
      </c>
      <c r="O44" s="1" t="s">
        <v>95</v>
      </c>
    </row>
    <row r="45" spans="1:15">
      <c r="A45" s="1" t="s">
        <v>120</v>
      </c>
      <c r="B45" s="1" t="s">
        <v>115</v>
      </c>
      <c r="C45" s="1" t="s">
        <v>26</v>
      </c>
      <c r="D45" s="1" t="s">
        <v>27</v>
      </c>
      <c r="E45" s="2">
        <v>46126</v>
      </c>
      <c r="F45" s="2">
        <v>46128</v>
      </c>
      <c r="G45" s="2"/>
      <c r="H45" s="1" t="s">
        <v>37</v>
      </c>
      <c r="I45" s="1" t="s">
        <v>41</v>
      </c>
      <c r="J45" s="1" t="s">
        <v>50</v>
      </c>
      <c r="K45">
        <v>2</v>
      </c>
      <c r="M45" s="1" t="s">
        <v>51</v>
      </c>
      <c r="N45">
        <v>9221.89</v>
      </c>
      <c r="O45" s="1" t="s">
        <v>95</v>
      </c>
    </row>
    <row r="46" spans="1:15">
      <c r="A46" s="1" t="s">
        <v>121</v>
      </c>
      <c r="B46" s="1" t="s">
        <v>112</v>
      </c>
      <c r="C46" s="1" t="s">
        <v>17</v>
      </c>
      <c r="D46" s="1" t="s">
        <v>18</v>
      </c>
      <c r="E46" s="2">
        <v>45837</v>
      </c>
      <c r="F46" s="2">
        <v>45847</v>
      </c>
      <c r="G46" s="2">
        <v>45843</v>
      </c>
      <c r="H46" s="1" t="s">
        <v>28</v>
      </c>
      <c r="I46" s="1" t="s">
        <v>20</v>
      </c>
      <c r="J46" s="1" t="s">
        <v>30</v>
      </c>
      <c r="K46">
        <v>10</v>
      </c>
      <c r="L46">
        <v>6</v>
      </c>
      <c r="M46" s="1" t="s">
        <v>31</v>
      </c>
      <c r="N46">
        <v>9798.7800000000007</v>
      </c>
      <c r="O46" s="1" t="s">
        <v>95</v>
      </c>
    </row>
    <row r="47" spans="1:15">
      <c r="A47" s="1" t="s">
        <v>122</v>
      </c>
      <c r="B47" s="1" t="s">
        <v>100</v>
      </c>
      <c r="C47" s="1" t="s">
        <v>47</v>
      </c>
      <c r="D47" s="1" t="s">
        <v>48</v>
      </c>
      <c r="E47" s="2">
        <v>46007</v>
      </c>
      <c r="F47" s="2">
        <v>46022</v>
      </c>
      <c r="G47" s="2">
        <v>46012</v>
      </c>
      <c r="H47" s="1" t="s">
        <v>37</v>
      </c>
      <c r="I47" s="1" t="s">
        <v>29</v>
      </c>
      <c r="J47" s="1" t="s">
        <v>30</v>
      </c>
      <c r="K47">
        <v>15</v>
      </c>
      <c r="L47">
        <v>5</v>
      </c>
      <c r="M47" s="1" t="s">
        <v>31</v>
      </c>
      <c r="N47">
        <v>4054.71</v>
      </c>
      <c r="O47" s="1" t="s">
        <v>39</v>
      </c>
    </row>
    <row r="48" spans="1:15">
      <c r="A48" s="1" t="s">
        <v>123</v>
      </c>
      <c r="B48" s="1" t="s">
        <v>83</v>
      </c>
      <c r="C48" s="1" t="s">
        <v>17</v>
      </c>
      <c r="D48" s="1" t="s">
        <v>18</v>
      </c>
      <c r="E48" s="2">
        <v>45716</v>
      </c>
      <c r="F48" s="2">
        <v>45726</v>
      </c>
      <c r="G48" s="2">
        <v>45732</v>
      </c>
      <c r="H48" s="1" t="s">
        <v>37</v>
      </c>
      <c r="I48" s="1" t="s">
        <v>20</v>
      </c>
      <c r="J48" s="1" t="s">
        <v>30</v>
      </c>
      <c r="K48">
        <v>10</v>
      </c>
      <c r="L48">
        <v>16</v>
      </c>
      <c r="M48" s="1" t="s">
        <v>22</v>
      </c>
      <c r="N48">
        <v>20602.04</v>
      </c>
      <c r="O48" s="1" t="s">
        <v>23</v>
      </c>
    </row>
    <row r="49" spans="1:15">
      <c r="A49" s="1" t="s">
        <v>124</v>
      </c>
      <c r="B49" s="1" t="s">
        <v>68</v>
      </c>
      <c r="C49" s="1" t="s">
        <v>58</v>
      </c>
      <c r="D49" s="1" t="s">
        <v>59</v>
      </c>
      <c r="E49" s="2">
        <v>45714</v>
      </c>
      <c r="F49" s="2">
        <v>45724</v>
      </c>
      <c r="G49" s="2"/>
      <c r="H49" s="1" t="s">
        <v>28</v>
      </c>
      <c r="I49" s="1" t="s">
        <v>20</v>
      </c>
      <c r="J49" s="1" t="s">
        <v>53</v>
      </c>
      <c r="K49">
        <v>10</v>
      </c>
      <c r="M49" s="1" t="s">
        <v>54</v>
      </c>
      <c r="N49">
        <v>1643.33</v>
      </c>
      <c r="O49" s="1" t="s">
        <v>32</v>
      </c>
    </row>
    <row r="50" spans="1:15">
      <c r="A50" s="1" t="s">
        <v>125</v>
      </c>
      <c r="B50" s="1" t="s">
        <v>46</v>
      </c>
      <c r="C50" s="1" t="s">
        <v>47</v>
      </c>
      <c r="D50" s="1" t="s">
        <v>48</v>
      </c>
      <c r="E50" s="2">
        <v>45878</v>
      </c>
      <c r="F50" s="2">
        <v>45893</v>
      </c>
      <c r="G50" s="2">
        <v>45880</v>
      </c>
      <c r="H50" s="1" t="s">
        <v>19</v>
      </c>
      <c r="I50" s="1" t="s">
        <v>29</v>
      </c>
      <c r="J50" s="1" t="s">
        <v>30</v>
      </c>
      <c r="K50">
        <v>15</v>
      </c>
      <c r="L50">
        <v>2</v>
      </c>
      <c r="M50" s="1" t="s">
        <v>31</v>
      </c>
      <c r="N50">
        <v>13809.23</v>
      </c>
      <c r="O50" s="1" t="s">
        <v>39</v>
      </c>
    </row>
    <row r="51" spans="1:15">
      <c r="A51" s="1" t="s">
        <v>126</v>
      </c>
      <c r="B51" s="1" t="s">
        <v>16</v>
      </c>
      <c r="C51" s="1" t="s">
        <v>17</v>
      </c>
      <c r="D51" s="1" t="s">
        <v>18</v>
      </c>
      <c r="E51" s="2">
        <v>45768</v>
      </c>
      <c r="F51" s="2">
        <v>45770</v>
      </c>
      <c r="G51" s="2">
        <v>45788</v>
      </c>
      <c r="H51" s="1" t="s">
        <v>19</v>
      </c>
      <c r="I51" s="1" t="s">
        <v>41</v>
      </c>
      <c r="J51" s="1" t="s">
        <v>30</v>
      </c>
      <c r="K51">
        <v>2</v>
      </c>
      <c r="L51">
        <v>20</v>
      </c>
      <c r="M51" s="1" t="s">
        <v>22</v>
      </c>
      <c r="N51">
        <v>23990.45</v>
      </c>
      <c r="O51" s="1" t="s">
        <v>23</v>
      </c>
    </row>
    <row r="52" spans="1:15">
      <c r="A52" s="1" t="s">
        <v>127</v>
      </c>
      <c r="B52" s="1" t="s">
        <v>43</v>
      </c>
      <c r="C52" s="1" t="s">
        <v>35</v>
      </c>
      <c r="D52" s="1" t="s">
        <v>36</v>
      </c>
      <c r="E52" s="2">
        <v>46041</v>
      </c>
      <c r="F52" s="2">
        <v>46046</v>
      </c>
      <c r="G52" s="2">
        <v>46061</v>
      </c>
      <c r="H52" s="1" t="s">
        <v>49</v>
      </c>
      <c r="I52" s="1" t="s">
        <v>38</v>
      </c>
      <c r="J52" s="1" t="s">
        <v>30</v>
      </c>
      <c r="K52">
        <v>5</v>
      </c>
      <c r="L52">
        <v>20</v>
      </c>
      <c r="M52" s="1" t="s">
        <v>22</v>
      </c>
      <c r="N52">
        <v>23739.81</v>
      </c>
      <c r="O52" s="1" t="s">
        <v>39</v>
      </c>
    </row>
    <row r="53" spans="1:15">
      <c r="A53" s="1" t="s">
        <v>128</v>
      </c>
      <c r="B53" s="1" t="s">
        <v>83</v>
      </c>
      <c r="C53" s="1" t="s">
        <v>17</v>
      </c>
      <c r="D53" s="1" t="s">
        <v>18</v>
      </c>
      <c r="E53" s="2">
        <v>46011</v>
      </c>
      <c r="F53" s="2">
        <v>46026</v>
      </c>
      <c r="G53" s="2">
        <v>46031</v>
      </c>
      <c r="H53" s="1" t="s">
        <v>37</v>
      </c>
      <c r="I53" s="1" t="s">
        <v>29</v>
      </c>
      <c r="J53" s="1" t="s">
        <v>30</v>
      </c>
      <c r="K53">
        <v>15</v>
      </c>
      <c r="L53">
        <v>20</v>
      </c>
      <c r="M53" s="1" t="s">
        <v>22</v>
      </c>
      <c r="N53">
        <v>12334.29</v>
      </c>
      <c r="O53" s="1" t="s">
        <v>23</v>
      </c>
    </row>
    <row r="54" spans="1:15">
      <c r="A54" s="1" t="s">
        <v>129</v>
      </c>
      <c r="B54" s="1" t="s">
        <v>46</v>
      </c>
      <c r="C54" s="1" t="s">
        <v>47</v>
      </c>
      <c r="D54" s="1" t="s">
        <v>48</v>
      </c>
      <c r="E54" s="2">
        <v>45994</v>
      </c>
      <c r="F54" s="2">
        <v>46009</v>
      </c>
      <c r="G54" s="2"/>
      <c r="H54" s="1" t="s">
        <v>19</v>
      </c>
      <c r="I54" s="1" t="s">
        <v>29</v>
      </c>
      <c r="J54" s="1" t="s">
        <v>21</v>
      </c>
      <c r="K54">
        <v>15</v>
      </c>
      <c r="L54">
        <v>19</v>
      </c>
      <c r="M54" s="1" t="s">
        <v>22</v>
      </c>
      <c r="N54">
        <v>10990.34</v>
      </c>
      <c r="O54" s="1" t="s">
        <v>39</v>
      </c>
    </row>
    <row r="55" spans="1:15">
      <c r="A55" s="1" t="s">
        <v>130</v>
      </c>
      <c r="B55" s="1" t="s">
        <v>115</v>
      </c>
      <c r="C55" s="1" t="s">
        <v>26</v>
      </c>
      <c r="D55" s="1" t="s">
        <v>27</v>
      </c>
      <c r="E55" s="2">
        <v>46184</v>
      </c>
      <c r="F55" s="2">
        <v>46199</v>
      </c>
      <c r="G55" s="2">
        <v>46191</v>
      </c>
      <c r="H55" s="1" t="s">
        <v>37</v>
      </c>
      <c r="I55" s="1" t="s">
        <v>29</v>
      </c>
      <c r="J55" s="1" t="s">
        <v>30</v>
      </c>
      <c r="K55">
        <v>15</v>
      </c>
      <c r="L55">
        <v>7</v>
      </c>
      <c r="M55" s="1" t="s">
        <v>31</v>
      </c>
      <c r="N55">
        <v>8952.2000000000007</v>
      </c>
      <c r="O55" s="1" t="s">
        <v>95</v>
      </c>
    </row>
    <row r="56" spans="1:15">
      <c r="A56" s="1" t="s">
        <v>131</v>
      </c>
      <c r="B56" s="1" t="s">
        <v>112</v>
      </c>
      <c r="C56" s="1" t="s">
        <v>17</v>
      </c>
      <c r="D56" s="1" t="s">
        <v>18</v>
      </c>
      <c r="E56" s="2">
        <v>46098</v>
      </c>
      <c r="F56" s="2">
        <v>46103</v>
      </c>
      <c r="G56" s="2"/>
      <c r="H56" s="1" t="s">
        <v>60</v>
      </c>
      <c r="I56" s="1" t="s">
        <v>38</v>
      </c>
      <c r="J56" s="1" t="s">
        <v>53</v>
      </c>
      <c r="K56">
        <v>5</v>
      </c>
      <c r="M56" s="1" t="s">
        <v>54</v>
      </c>
      <c r="N56">
        <v>12880.91</v>
      </c>
      <c r="O56" s="1" t="s">
        <v>95</v>
      </c>
    </row>
    <row r="57" spans="1:15">
      <c r="A57" s="1" t="s">
        <v>132</v>
      </c>
      <c r="B57" s="1" t="s">
        <v>46</v>
      </c>
      <c r="C57" s="1" t="s">
        <v>47</v>
      </c>
      <c r="D57" s="1" t="s">
        <v>48</v>
      </c>
      <c r="E57" s="2">
        <v>46125</v>
      </c>
      <c r="F57" s="2">
        <v>46127</v>
      </c>
      <c r="G57" s="2">
        <v>46139</v>
      </c>
      <c r="H57" s="1" t="s">
        <v>49</v>
      </c>
      <c r="I57" s="1" t="s">
        <v>41</v>
      </c>
      <c r="J57" s="1" t="s">
        <v>30</v>
      </c>
      <c r="K57">
        <v>2</v>
      </c>
      <c r="L57">
        <v>14</v>
      </c>
      <c r="M57" s="1" t="s">
        <v>22</v>
      </c>
      <c r="N57">
        <v>6544.15</v>
      </c>
      <c r="O57" s="1" t="s">
        <v>39</v>
      </c>
    </row>
    <row r="58" spans="1:15">
      <c r="A58" s="1" t="s">
        <v>133</v>
      </c>
      <c r="B58" s="1" t="s">
        <v>105</v>
      </c>
      <c r="C58" s="1" t="s">
        <v>106</v>
      </c>
      <c r="D58" s="1" t="s">
        <v>107</v>
      </c>
      <c r="E58" s="2">
        <v>45803</v>
      </c>
      <c r="F58" s="2">
        <v>45818</v>
      </c>
      <c r="G58" s="2">
        <v>45818</v>
      </c>
      <c r="H58" s="1" t="s">
        <v>19</v>
      </c>
      <c r="I58" s="1" t="s">
        <v>29</v>
      </c>
      <c r="J58" s="1" t="s">
        <v>30</v>
      </c>
      <c r="K58">
        <v>15</v>
      </c>
      <c r="L58">
        <v>15</v>
      </c>
      <c r="M58" s="1" t="s">
        <v>31</v>
      </c>
      <c r="N58">
        <v>17108.97</v>
      </c>
      <c r="O58" s="1" t="s">
        <v>32</v>
      </c>
    </row>
    <row r="59" spans="1:15">
      <c r="A59" s="1" t="s">
        <v>134</v>
      </c>
      <c r="B59" s="1" t="s">
        <v>86</v>
      </c>
      <c r="C59" s="1" t="s">
        <v>47</v>
      </c>
      <c r="D59" s="1" t="s">
        <v>48</v>
      </c>
      <c r="E59" s="2">
        <v>46154</v>
      </c>
      <c r="F59" s="2">
        <v>46169</v>
      </c>
      <c r="G59" s="2">
        <v>46160</v>
      </c>
      <c r="H59" s="1" t="s">
        <v>19</v>
      </c>
      <c r="I59" s="1" t="s">
        <v>29</v>
      </c>
      <c r="J59" s="1" t="s">
        <v>30</v>
      </c>
      <c r="K59">
        <v>15</v>
      </c>
      <c r="L59">
        <v>6</v>
      </c>
      <c r="M59" s="1" t="s">
        <v>31</v>
      </c>
      <c r="N59">
        <v>16195.67</v>
      </c>
      <c r="O59" s="1" t="s">
        <v>79</v>
      </c>
    </row>
    <row r="60" spans="1:15">
      <c r="A60" s="1" t="s">
        <v>135</v>
      </c>
      <c r="B60" s="1" t="s">
        <v>112</v>
      </c>
      <c r="C60" s="1" t="s">
        <v>17</v>
      </c>
      <c r="D60" s="1" t="s">
        <v>18</v>
      </c>
      <c r="E60" s="2">
        <v>45710</v>
      </c>
      <c r="F60" s="2">
        <v>45715</v>
      </c>
      <c r="G60" s="2">
        <v>45728</v>
      </c>
      <c r="H60" s="1" t="s">
        <v>19</v>
      </c>
      <c r="I60" s="1" t="s">
        <v>38</v>
      </c>
      <c r="J60" s="1" t="s">
        <v>30</v>
      </c>
      <c r="K60">
        <v>5</v>
      </c>
      <c r="L60">
        <v>18</v>
      </c>
      <c r="M60" s="1" t="s">
        <v>22</v>
      </c>
      <c r="N60">
        <v>15792.61</v>
      </c>
      <c r="O60" s="1" t="s">
        <v>95</v>
      </c>
    </row>
    <row r="61" spans="1:15">
      <c r="A61" s="1" t="s">
        <v>136</v>
      </c>
      <c r="B61" s="1" t="s">
        <v>34</v>
      </c>
      <c r="C61" s="1" t="s">
        <v>35</v>
      </c>
      <c r="D61" s="1" t="s">
        <v>36</v>
      </c>
      <c r="E61" s="2">
        <v>45820</v>
      </c>
      <c r="F61" s="2">
        <v>45830</v>
      </c>
      <c r="G61" s="2"/>
      <c r="H61" s="1" t="s">
        <v>49</v>
      </c>
      <c r="I61" s="1" t="s">
        <v>20</v>
      </c>
      <c r="J61" s="1" t="s">
        <v>53</v>
      </c>
      <c r="K61">
        <v>10</v>
      </c>
      <c r="M61" s="1" t="s">
        <v>54</v>
      </c>
      <c r="N61">
        <v>23068.44</v>
      </c>
      <c r="O61" s="1" t="s">
        <v>39</v>
      </c>
    </row>
    <row r="62" spans="1:15">
      <c r="A62" s="1" t="s">
        <v>137</v>
      </c>
      <c r="B62" s="1" t="s">
        <v>92</v>
      </c>
      <c r="C62" s="1" t="s">
        <v>93</v>
      </c>
      <c r="D62" s="1" t="s">
        <v>94</v>
      </c>
      <c r="E62" s="2">
        <v>45961</v>
      </c>
      <c r="F62" s="2">
        <v>45976</v>
      </c>
      <c r="G62" s="2"/>
      <c r="H62" s="1" t="s">
        <v>60</v>
      </c>
      <c r="I62" s="1" t="s">
        <v>29</v>
      </c>
      <c r="J62" s="1" t="s">
        <v>50</v>
      </c>
      <c r="K62">
        <v>15</v>
      </c>
      <c r="M62" s="1" t="s">
        <v>51</v>
      </c>
      <c r="N62">
        <v>21782.639999999999</v>
      </c>
      <c r="O62" s="1" t="s">
        <v>95</v>
      </c>
    </row>
    <row r="63" spans="1:15">
      <c r="A63" s="1" t="s">
        <v>138</v>
      </c>
      <c r="B63" s="1" t="s">
        <v>117</v>
      </c>
      <c r="C63" s="1" t="s">
        <v>93</v>
      </c>
      <c r="D63" s="1" t="s">
        <v>94</v>
      </c>
      <c r="E63" s="2">
        <v>45787</v>
      </c>
      <c r="F63" s="2">
        <v>45792</v>
      </c>
      <c r="G63" s="2">
        <v>45798</v>
      </c>
      <c r="H63" s="1" t="s">
        <v>60</v>
      </c>
      <c r="I63" s="1" t="s">
        <v>38</v>
      </c>
      <c r="J63" s="1" t="s">
        <v>30</v>
      </c>
      <c r="K63">
        <v>5</v>
      </c>
      <c r="L63">
        <v>11</v>
      </c>
      <c r="M63" s="1" t="s">
        <v>22</v>
      </c>
      <c r="N63">
        <v>21179.72</v>
      </c>
      <c r="O63" s="1" t="s">
        <v>95</v>
      </c>
    </row>
    <row r="64" spans="1:15">
      <c r="A64" s="1" t="s">
        <v>139</v>
      </c>
      <c r="B64" s="1" t="s">
        <v>105</v>
      </c>
      <c r="C64" s="1" t="s">
        <v>106</v>
      </c>
      <c r="D64" s="1" t="s">
        <v>107</v>
      </c>
      <c r="E64" s="2">
        <v>46159</v>
      </c>
      <c r="F64" s="2">
        <v>46174</v>
      </c>
      <c r="G64" s="2"/>
      <c r="H64" s="1" t="s">
        <v>49</v>
      </c>
      <c r="I64" s="1" t="s">
        <v>29</v>
      </c>
      <c r="J64" s="1" t="s">
        <v>53</v>
      </c>
      <c r="K64">
        <v>15</v>
      </c>
      <c r="M64" s="1" t="s">
        <v>54</v>
      </c>
      <c r="N64">
        <v>2892.51</v>
      </c>
      <c r="O64" s="1" t="s">
        <v>32</v>
      </c>
    </row>
    <row r="65" spans="1:15">
      <c r="A65" s="1" t="s">
        <v>140</v>
      </c>
      <c r="B65" s="1" t="s">
        <v>105</v>
      </c>
      <c r="C65" s="1" t="s">
        <v>106</v>
      </c>
      <c r="D65" s="1" t="s">
        <v>107</v>
      </c>
      <c r="E65" s="2">
        <v>46158</v>
      </c>
      <c r="F65" s="2">
        <v>46160</v>
      </c>
      <c r="G65" s="2">
        <v>46174</v>
      </c>
      <c r="H65" s="1" t="s">
        <v>49</v>
      </c>
      <c r="I65" s="1" t="s">
        <v>41</v>
      </c>
      <c r="J65" s="1" t="s">
        <v>30</v>
      </c>
      <c r="K65">
        <v>2</v>
      </c>
      <c r="L65">
        <v>16</v>
      </c>
      <c r="M65" s="1" t="s">
        <v>22</v>
      </c>
      <c r="N65">
        <v>15885.76</v>
      </c>
      <c r="O65" s="1" t="s">
        <v>32</v>
      </c>
    </row>
    <row r="66" spans="1:15">
      <c r="A66" s="1" t="s">
        <v>141</v>
      </c>
      <c r="B66" s="1" t="s">
        <v>76</v>
      </c>
      <c r="C66" s="1" t="s">
        <v>77</v>
      </c>
      <c r="D66" s="1" t="s">
        <v>78</v>
      </c>
      <c r="E66" s="2">
        <v>46126</v>
      </c>
      <c r="F66" s="2">
        <v>46141</v>
      </c>
      <c r="G66" s="2"/>
      <c r="H66" s="1" t="s">
        <v>19</v>
      </c>
      <c r="I66" s="1" t="s">
        <v>29</v>
      </c>
      <c r="J66" s="1" t="s">
        <v>53</v>
      </c>
      <c r="K66">
        <v>15</v>
      </c>
      <c r="M66" s="1" t="s">
        <v>54</v>
      </c>
      <c r="N66">
        <v>9110.94</v>
      </c>
      <c r="O66" s="1" t="s">
        <v>79</v>
      </c>
    </row>
    <row r="67" spans="1:15">
      <c r="A67" s="1" t="s">
        <v>142</v>
      </c>
      <c r="B67" s="1" t="s">
        <v>16</v>
      </c>
      <c r="C67" s="1" t="s">
        <v>17</v>
      </c>
      <c r="D67" s="1" t="s">
        <v>18</v>
      </c>
      <c r="E67" s="2">
        <v>46046</v>
      </c>
      <c r="F67" s="2">
        <v>46048</v>
      </c>
      <c r="G67" s="2"/>
      <c r="H67" s="1" t="s">
        <v>19</v>
      </c>
      <c r="I67" s="1" t="s">
        <v>41</v>
      </c>
      <c r="J67" s="1" t="s">
        <v>50</v>
      </c>
      <c r="K67">
        <v>2</v>
      </c>
      <c r="M67" s="1" t="s">
        <v>51</v>
      </c>
      <c r="N67">
        <v>2607.37</v>
      </c>
      <c r="O67" s="1" t="s">
        <v>23</v>
      </c>
    </row>
    <row r="68" spans="1:15">
      <c r="A68" s="1" t="s">
        <v>143</v>
      </c>
      <c r="B68" s="1" t="s">
        <v>57</v>
      </c>
      <c r="C68" s="1" t="s">
        <v>58</v>
      </c>
      <c r="D68" s="1" t="s">
        <v>59</v>
      </c>
      <c r="E68" s="2">
        <v>46085</v>
      </c>
      <c r="F68" s="2">
        <v>46090</v>
      </c>
      <c r="G68" s="2"/>
      <c r="H68" s="1" t="s">
        <v>19</v>
      </c>
      <c r="I68" s="1" t="s">
        <v>38</v>
      </c>
      <c r="J68" s="1" t="s">
        <v>21</v>
      </c>
      <c r="K68">
        <v>5</v>
      </c>
      <c r="L68">
        <v>25</v>
      </c>
      <c r="M68" s="1" t="s">
        <v>22</v>
      </c>
      <c r="N68">
        <v>23536.25</v>
      </c>
      <c r="O68" s="1" t="s">
        <v>39</v>
      </c>
    </row>
    <row r="69" spans="1:15">
      <c r="A69" s="1" t="s">
        <v>144</v>
      </c>
      <c r="B69" s="1" t="s">
        <v>117</v>
      </c>
      <c r="C69" s="1" t="s">
        <v>93</v>
      </c>
      <c r="D69" s="1" t="s">
        <v>94</v>
      </c>
      <c r="E69" s="2">
        <v>46056</v>
      </c>
      <c r="F69" s="2">
        <v>46071</v>
      </c>
      <c r="G69" s="2"/>
      <c r="H69" s="1" t="s">
        <v>49</v>
      </c>
      <c r="I69" s="1" t="s">
        <v>29</v>
      </c>
      <c r="J69" s="1" t="s">
        <v>21</v>
      </c>
      <c r="K69">
        <v>15</v>
      </c>
      <c r="L69">
        <v>22</v>
      </c>
      <c r="M69" s="1" t="s">
        <v>22</v>
      </c>
      <c r="N69">
        <v>10731.89</v>
      </c>
      <c r="O69" s="1" t="s">
        <v>95</v>
      </c>
    </row>
    <row r="70" spans="1:15">
      <c r="A70" s="1" t="s">
        <v>145</v>
      </c>
      <c r="B70" s="1" t="s">
        <v>71</v>
      </c>
      <c r="C70" s="1" t="s">
        <v>72</v>
      </c>
      <c r="D70" s="1" t="s">
        <v>73</v>
      </c>
      <c r="E70" s="2">
        <v>46093</v>
      </c>
      <c r="F70" s="2">
        <v>46103</v>
      </c>
      <c r="G70" s="2">
        <v>46100</v>
      </c>
      <c r="H70" s="1" t="s">
        <v>44</v>
      </c>
      <c r="I70" s="1" t="s">
        <v>20</v>
      </c>
      <c r="J70" s="1" t="s">
        <v>30</v>
      </c>
      <c r="K70">
        <v>10</v>
      </c>
      <c r="L70">
        <v>7</v>
      </c>
      <c r="M70" s="1" t="s">
        <v>31</v>
      </c>
      <c r="N70">
        <v>17289.02</v>
      </c>
      <c r="O70" s="1" t="s">
        <v>39</v>
      </c>
    </row>
    <row r="71" spans="1:15">
      <c r="A71" s="1" t="s">
        <v>146</v>
      </c>
      <c r="B71" s="1" t="s">
        <v>105</v>
      </c>
      <c r="C71" s="1" t="s">
        <v>106</v>
      </c>
      <c r="D71" s="1" t="s">
        <v>107</v>
      </c>
      <c r="E71" s="2">
        <v>45777</v>
      </c>
      <c r="F71" s="2">
        <v>45782</v>
      </c>
      <c r="G71" s="2">
        <v>45796</v>
      </c>
      <c r="H71" s="1" t="s">
        <v>19</v>
      </c>
      <c r="I71" s="1" t="s">
        <v>38</v>
      </c>
      <c r="J71" s="1" t="s">
        <v>30</v>
      </c>
      <c r="K71">
        <v>5</v>
      </c>
      <c r="L71">
        <v>19</v>
      </c>
      <c r="M71" s="1" t="s">
        <v>22</v>
      </c>
      <c r="N71">
        <v>13753.07</v>
      </c>
      <c r="O71" s="1" t="s">
        <v>32</v>
      </c>
    </row>
    <row r="72" spans="1:15">
      <c r="A72" s="1" t="s">
        <v>147</v>
      </c>
      <c r="B72" s="1" t="s">
        <v>76</v>
      </c>
      <c r="C72" s="1" t="s">
        <v>77</v>
      </c>
      <c r="D72" s="1" t="s">
        <v>78</v>
      </c>
      <c r="E72" s="2">
        <v>46180</v>
      </c>
      <c r="F72" s="2">
        <v>46190</v>
      </c>
      <c r="G72" s="2">
        <v>46192</v>
      </c>
      <c r="H72" s="1" t="s">
        <v>49</v>
      </c>
      <c r="I72" s="1" t="s">
        <v>20</v>
      </c>
      <c r="J72" s="1" t="s">
        <v>30</v>
      </c>
      <c r="K72">
        <v>10</v>
      </c>
      <c r="L72">
        <v>12</v>
      </c>
      <c r="M72" s="1" t="s">
        <v>22</v>
      </c>
      <c r="N72">
        <v>24072.28</v>
      </c>
      <c r="O72" s="1" t="s">
        <v>79</v>
      </c>
    </row>
    <row r="73" spans="1:15">
      <c r="A73" s="1" t="s">
        <v>148</v>
      </c>
      <c r="B73" s="1" t="s">
        <v>25</v>
      </c>
      <c r="C73" s="1" t="s">
        <v>26</v>
      </c>
      <c r="D73" s="1" t="s">
        <v>27</v>
      </c>
      <c r="E73" s="2">
        <v>46164</v>
      </c>
      <c r="F73" s="2">
        <v>46179</v>
      </c>
      <c r="G73" s="2"/>
      <c r="H73" s="1" t="s">
        <v>44</v>
      </c>
      <c r="I73" s="1" t="s">
        <v>29</v>
      </c>
      <c r="J73" s="1" t="s">
        <v>53</v>
      </c>
      <c r="K73">
        <v>15</v>
      </c>
      <c r="M73" s="1" t="s">
        <v>54</v>
      </c>
      <c r="N73">
        <v>599.77</v>
      </c>
      <c r="O73" s="1" t="s">
        <v>32</v>
      </c>
    </row>
    <row r="74" spans="1:15">
      <c r="A74" s="1" t="s">
        <v>149</v>
      </c>
      <c r="B74" s="1" t="s">
        <v>43</v>
      </c>
      <c r="C74" s="1" t="s">
        <v>35</v>
      </c>
      <c r="D74" s="1" t="s">
        <v>36</v>
      </c>
      <c r="E74" s="2">
        <v>46194</v>
      </c>
      <c r="F74" s="2">
        <v>46209</v>
      </c>
      <c r="G74" s="2"/>
      <c r="H74" s="1" t="s">
        <v>37</v>
      </c>
      <c r="I74" s="1" t="s">
        <v>29</v>
      </c>
      <c r="J74" s="1" t="s">
        <v>53</v>
      </c>
      <c r="K74">
        <v>15</v>
      </c>
      <c r="M74" s="1" t="s">
        <v>54</v>
      </c>
      <c r="N74">
        <v>20101.259999999998</v>
      </c>
      <c r="O74" s="1" t="s">
        <v>39</v>
      </c>
    </row>
    <row r="75" spans="1:15">
      <c r="A75" s="1" t="s">
        <v>150</v>
      </c>
      <c r="B75" s="1" t="s">
        <v>64</v>
      </c>
      <c r="C75" s="1" t="s">
        <v>65</v>
      </c>
      <c r="D75" s="1" t="s">
        <v>66</v>
      </c>
      <c r="E75" s="2">
        <v>46075</v>
      </c>
      <c r="F75" s="2">
        <v>46077</v>
      </c>
      <c r="G75" s="2">
        <v>46094</v>
      </c>
      <c r="H75" s="1" t="s">
        <v>37</v>
      </c>
      <c r="I75" s="1" t="s">
        <v>41</v>
      </c>
      <c r="J75" s="1" t="s">
        <v>30</v>
      </c>
      <c r="K75">
        <v>2</v>
      </c>
      <c r="L75">
        <v>19</v>
      </c>
      <c r="M75" s="1" t="s">
        <v>22</v>
      </c>
      <c r="N75">
        <v>12438.17</v>
      </c>
      <c r="O75" s="1" t="s">
        <v>32</v>
      </c>
    </row>
    <row r="76" spans="1:15">
      <c r="A76" s="1" t="s">
        <v>151</v>
      </c>
      <c r="B76" s="1" t="s">
        <v>25</v>
      </c>
      <c r="C76" s="1" t="s">
        <v>26</v>
      </c>
      <c r="D76" s="1" t="s">
        <v>27</v>
      </c>
      <c r="E76" s="2">
        <v>45765</v>
      </c>
      <c r="F76" s="2">
        <v>45780</v>
      </c>
      <c r="G76" s="2">
        <v>45776</v>
      </c>
      <c r="H76" s="1" t="s">
        <v>28</v>
      </c>
      <c r="I76" s="1" t="s">
        <v>29</v>
      </c>
      <c r="J76" s="1" t="s">
        <v>30</v>
      </c>
      <c r="K76">
        <v>15</v>
      </c>
      <c r="L76">
        <v>11</v>
      </c>
      <c r="M76" s="1" t="s">
        <v>31</v>
      </c>
      <c r="N76">
        <v>9429.42</v>
      </c>
      <c r="O76" s="1" t="s">
        <v>32</v>
      </c>
    </row>
    <row r="77" spans="1:15">
      <c r="A77" s="1" t="s">
        <v>152</v>
      </c>
      <c r="B77" s="1" t="s">
        <v>25</v>
      </c>
      <c r="C77" s="1" t="s">
        <v>26</v>
      </c>
      <c r="D77" s="1" t="s">
        <v>27</v>
      </c>
      <c r="E77" s="2">
        <v>45695</v>
      </c>
      <c r="F77" s="2">
        <v>45697</v>
      </c>
      <c r="G77" s="2">
        <v>45711</v>
      </c>
      <c r="H77" s="1" t="s">
        <v>60</v>
      </c>
      <c r="I77" s="1" t="s">
        <v>41</v>
      </c>
      <c r="J77" s="1" t="s">
        <v>30</v>
      </c>
      <c r="K77">
        <v>2</v>
      </c>
      <c r="L77">
        <v>16</v>
      </c>
      <c r="M77" s="1" t="s">
        <v>22</v>
      </c>
      <c r="N77">
        <v>14959.94</v>
      </c>
      <c r="O77" s="1" t="s">
        <v>32</v>
      </c>
    </row>
    <row r="78" spans="1:15">
      <c r="A78" s="1" t="s">
        <v>153</v>
      </c>
      <c r="B78" s="1" t="s">
        <v>83</v>
      </c>
      <c r="C78" s="1" t="s">
        <v>17</v>
      </c>
      <c r="D78" s="1" t="s">
        <v>18</v>
      </c>
      <c r="E78" s="2">
        <v>45731</v>
      </c>
      <c r="F78" s="2">
        <v>45746</v>
      </c>
      <c r="G78" s="2">
        <v>45740</v>
      </c>
      <c r="H78" s="1" t="s">
        <v>37</v>
      </c>
      <c r="I78" s="1" t="s">
        <v>29</v>
      </c>
      <c r="J78" s="1" t="s">
        <v>30</v>
      </c>
      <c r="K78">
        <v>15</v>
      </c>
      <c r="L78">
        <v>9</v>
      </c>
      <c r="M78" s="1" t="s">
        <v>31</v>
      </c>
      <c r="N78">
        <v>11779.94</v>
      </c>
      <c r="O78" s="1" t="s">
        <v>23</v>
      </c>
    </row>
    <row r="79" spans="1:15">
      <c r="A79" s="1" t="s">
        <v>154</v>
      </c>
      <c r="B79" s="1" t="s">
        <v>68</v>
      </c>
      <c r="C79" s="1" t="s">
        <v>58</v>
      </c>
      <c r="D79" s="1" t="s">
        <v>59</v>
      </c>
      <c r="E79" s="2">
        <v>45867</v>
      </c>
      <c r="F79" s="2">
        <v>45869</v>
      </c>
      <c r="G79" s="2">
        <v>45869</v>
      </c>
      <c r="H79" s="1" t="s">
        <v>60</v>
      </c>
      <c r="I79" s="1" t="s">
        <v>41</v>
      </c>
      <c r="J79" s="1" t="s">
        <v>30</v>
      </c>
      <c r="K79">
        <v>2</v>
      </c>
      <c r="L79">
        <v>2</v>
      </c>
      <c r="M79" s="1" t="s">
        <v>31</v>
      </c>
      <c r="N79">
        <v>9050.31</v>
      </c>
      <c r="O79" s="1" t="s">
        <v>32</v>
      </c>
    </row>
    <row r="80" spans="1:15">
      <c r="A80" s="1" t="s">
        <v>155</v>
      </c>
      <c r="B80" s="1" t="s">
        <v>83</v>
      </c>
      <c r="C80" s="1" t="s">
        <v>17</v>
      </c>
      <c r="D80" s="1" t="s">
        <v>18</v>
      </c>
      <c r="E80" s="2">
        <v>45856</v>
      </c>
      <c r="F80" s="2">
        <v>45866</v>
      </c>
      <c r="G80" s="2">
        <v>45876</v>
      </c>
      <c r="H80" s="1" t="s">
        <v>28</v>
      </c>
      <c r="I80" s="1" t="s">
        <v>20</v>
      </c>
      <c r="J80" s="1" t="s">
        <v>30</v>
      </c>
      <c r="K80">
        <v>10</v>
      </c>
      <c r="L80">
        <v>20</v>
      </c>
      <c r="M80" s="1" t="s">
        <v>22</v>
      </c>
      <c r="N80">
        <v>14435.23</v>
      </c>
      <c r="O80" s="1" t="s">
        <v>23</v>
      </c>
    </row>
    <row r="81" spans="1:15">
      <c r="A81" s="1" t="s">
        <v>156</v>
      </c>
      <c r="B81" s="1" t="s">
        <v>25</v>
      </c>
      <c r="C81" s="1" t="s">
        <v>26</v>
      </c>
      <c r="D81" s="1" t="s">
        <v>27</v>
      </c>
      <c r="E81" s="2">
        <v>45764</v>
      </c>
      <c r="F81" s="2">
        <v>45774</v>
      </c>
      <c r="G81" s="2">
        <v>45782</v>
      </c>
      <c r="H81" s="1" t="s">
        <v>60</v>
      </c>
      <c r="I81" s="1" t="s">
        <v>20</v>
      </c>
      <c r="J81" s="1" t="s">
        <v>30</v>
      </c>
      <c r="K81">
        <v>10</v>
      </c>
      <c r="L81">
        <v>18</v>
      </c>
      <c r="M81" s="1" t="s">
        <v>22</v>
      </c>
      <c r="N81">
        <v>21448.94</v>
      </c>
      <c r="O81" s="1" t="s">
        <v>32</v>
      </c>
    </row>
    <row r="82" spans="1:15">
      <c r="A82" s="1" t="s">
        <v>157</v>
      </c>
      <c r="B82" s="1" t="s">
        <v>100</v>
      </c>
      <c r="C82" s="1" t="s">
        <v>47</v>
      </c>
      <c r="D82" s="1" t="s">
        <v>48</v>
      </c>
      <c r="E82" s="2">
        <v>45776</v>
      </c>
      <c r="F82" s="2">
        <v>45778</v>
      </c>
      <c r="G82" s="2">
        <v>45779</v>
      </c>
      <c r="H82" s="1" t="s">
        <v>49</v>
      </c>
      <c r="I82" s="1" t="s">
        <v>41</v>
      </c>
      <c r="J82" s="1" t="s">
        <v>30</v>
      </c>
      <c r="K82">
        <v>2</v>
      </c>
      <c r="L82">
        <v>3</v>
      </c>
      <c r="M82" s="1" t="s">
        <v>22</v>
      </c>
      <c r="N82">
        <v>4093.99</v>
      </c>
      <c r="O82" s="1" t="s">
        <v>39</v>
      </c>
    </row>
    <row r="83" spans="1:15">
      <c r="A83" s="1" t="s">
        <v>158</v>
      </c>
      <c r="B83" s="1" t="s">
        <v>64</v>
      </c>
      <c r="C83" s="1" t="s">
        <v>65</v>
      </c>
      <c r="D83" s="1" t="s">
        <v>66</v>
      </c>
      <c r="E83" s="2">
        <v>45813</v>
      </c>
      <c r="F83" s="2">
        <v>45823</v>
      </c>
      <c r="G83" s="2"/>
      <c r="H83" s="1" t="s">
        <v>49</v>
      </c>
      <c r="I83" s="1" t="s">
        <v>20</v>
      </c>
      <c r="J83" s="1" t="s">
        <v>21</v>
      </c>
      <c r="K83">
        <v>10</v>
      </c>
      <c r="L83">
        <v>25</v>
      </c>
      <c r="M83" s="1" t="s">
        <v>22</v>
      </c>
      <c r="N83">
        <v>4161.16</v>
      </c>
      <c r="O83" s="1" t="s">
        <v>32</v>
      </c>
    </row>
    <row r="84" spans="1:15">
      <c r="A84" s="1" t="s">
        <v>159</v>
      </c>
      <c r="B84" s="1" t="s">
        <v>25</v>
      </c>
      <c r="C84" s="1" t="s">
        <v>26</v>
      </c>
      <c r="D84" s="1" t="s">
        <v>27</v>
      </c>
      <c r="E84" s="2">
        <v>45676</v>
      </c>
      <c r="F84" s="2">
        <v>45686</v>
      </c>
      <c r="G84" s="2">
        <v>45693</v>
      </c>
      <c r="H84" s="1" t="s">
        <v>28</v>
      </c>
      <c r="I84" s="1" t="s">
        <v>20</v>
      </c>
      <c r="J84" s="1" t="s">
        <v>30</v>
      </c>
      <c r="K84">
        <v>10</v>
      </c>
      <c r="L84">
        <v>17</v>
      </c>
      <c r="M84" s="1" t="s">
        <v>22</v>
      </c>
      <c r="N84">
        <v>19426.5</v>
      </c>
      <c r="O84" s="1" t="s">
        <v>32</v>
      </c>
    </row>
    <row r="85" spans="1:15">
      <c r="A85" s="1" t="s">
        <v>160</v>
      </c>
      <c r="B85" s="1" t="s">
        <v>25</v>
      </c>
      <c r="C85" s="1" t="s">
        <v>26</v>
      </c>
      <c r="D85" s="1" t="s">
        <v>27</v>
      </c>
      <c r="E85" s="2">
        <v>46032</v>
      </c>
      <c r="F85" s="2">
        <v>46034</v>
      </c>
      <c r="G85" s="2">
        <v>46050</v>
      </c>
      <c r="H85" s="1" t="s">
        <v>60</v>
      </c>
      <c r="I85" s="1" t="s">
        <v>41</v>
      </c>
      <c r="J85" s="1" t="s">
        <v>30</v>
      </c>
      <c r="K85">
        <v>2</v>
      </c>
      <c r="L85">
        <v>18</v>
      </c>
      <c r="M85" s="1" t="s">
        <v>22</v>
      </c>
      <c r="N85">
        <v>20335.689999999999</v>
      </c>
      <c r="O85" s="1" t="s">
        <v>32</v>
      </c>
    </row>
    <row r="86" spans="1:15">
      <c r="A86" s="1" t="s">
        <v>161</v>
      </c>
      <c r="B86" s="1" t="s">
        <v>105</v>
      </c>
      <c r="C86" s="1" t="s">
        <v>106</v>
      </c>
      <c r="D86" s="1" t="s">
        <v>107</v>
      </c>
      <c r="E86" s="2">
        <v>45736</v>
      </c>
      <c r="F86" s="2">
        <v>45741</v>
      </c>
      <c r="G86" s="2">
        <v>45737</v>
      </c>
      <c r="H86" s="1" t="s">
        <v>28</v>
      </c>
      <c r="I86" s="1" t="s">
        <v>38</v>
      </c>
      <c r="J86" s="1" t="s">
        <v>30</v>
      </c>
      <c r="K86">
        <v>5</v>
      </c>
      <c r="L86">
        <v>1</v>
      </c>
      <c r="M86" s="1" t="s">
        <v>31</v>
      </c>
      <c r="N86">
        <v>17155.560000000001</v>
      </c>
      <c r="O86" s="1" t="s">
        <v>32</v>
      </c>
    </row>
    <row r="87" spans="1:15">
      <c r="A87" s="1" t="s">
        <v>162</v>
      </c>
      <c r="B87" s="1" t="s">
        <v>34</v>
      </c>
      <c r="C87" s="1" t="s">
        <v>35</v>
      </c>
      <c r="D87" s="1" t="s">
        <v>36</v>
      </c>
      <c r="E87" s="2">
        <v>46103</v>
      </c>
      <c r="F87" s="2">
        <v>46118</v>
      </c>
      <c r="G87" s="2"/>
      <c r="H87" s="1" t="s">
        <v>28</v>
      </c>
      <c r="I87" s="1" t="s">
        <v>29</v>
      </c>
      <c r="J87" s="1" t="s">
        <v>21</v>
      </c>
      <c r="K87">
        <v>15</v>
      </c>
      <c r="L87">
        <v>24</v>
      </c>
      <c r="M87" s="1" t="s">
        <v>22</v>
      </c>
      <c r="N87">
        <v>4352.6499999999996</v>
      </c>
      <c r="O87" s="1" t="s">
        <v>39</v>
      </c>
    </row>
    <row r="88" spans="1:15">
      <c r="A88" s="1" t="s">
        <v>163</v>
      </c>
      <c r="B88" s="1" t="s">
        <v>92</v>
      </c>
      <c r="C88" s="1" t="s">
        <v>93</v>
      </c>
      <c r="D88" s="1" t="s">
        <v>94</v>
      </c>
      <c r="E88" s="2">
        <v>45933</v>
      </c>
      <c r="F88" s="2">
        <v>45938</v>
      </c>
      <c r="G88" s="2">
        <v>45941</v>
      </c>
      <c r="H88" s="1" t="s">
        <v>19</v>
      </c>
      <c r="I88" s="1" t="s">
        <v>38</v>
      </c>
      <c r="J88" s="1" t="s">
        <v>30</v>
      </c>
      <c r="K88">
        <v>5</v>
      </c>
      <c r="L88">
        <v>8</v>
      </c>
      <c r="M88" s="1" t="s">
        <v>22</v>
      </c>
      <c r="N88">
        <v>2851.16</v>
      </c>
      <c r="O88" s="1" t="s">
        <v>95</v>
      </c>
    </row>
    <row r="89" spans="1:15">
      <c r="A89" s="1" t="s">
        <v>164</v>
      </c>
      <c r="B89" s="1" t="s">
        <v>117</v>
      </c>
      <c r="C89" s="1" t="s">
        <v>93</v>
      </c>
      <c r="D89" s="1" t="s">
        <v>94</v>
      </c>
      <c r="E89" s="2">
        <v>46064</v>
      </c>
      <c r="F89" s="2">
        <v>46079</v>
      </c>
      <c r="G89" s="2"/>
      <c r="H89" s="1" t="s">
        <v>19</v>
      </c>
      <c r="I89" s="1" t="s">
        <v>29</v>
      </c>
      <c r="J89" s="1" t="s">
        <v>53</v>
      </c>
      <c r="K89">
        <v>15</v>
      </c>
      <c r="M89" s="1" t="s">
        <v>54</v>
      </c>
      <c r="N89">
        <v>4513.87</v>
      </c>
      <c r="O89" s="1" t="s">
        <v>95</v>
      </c>
    </row>
    <row r="90" spans="1:15">
      <c r="A90" s="1" t="s">
        <v>165</v>
      </c>
      <c r="B90" s="1" t="s">
        <v>83</v>
      </c>
      <c r="C90" s="1" t="s">
        <v>17</v>
      </c>
      <c r="D90" s="1" t="s">
        <v>18</v>
      </c>
      <c r="E90" s="2">
        <v>45662</v>
      </c>
      <c r="F90" s="2">
        <v>45672</v>
      </c>
      <c r="G90" s="2"/>
      <c r="H90" s="1" t="s">
        <v>49</v>
      </c>
      <c r="I90" s="1" t="s">
        <v>20</v>
      </c>
      <c r="J90" s="1" t="s">
        <v>50</v>
      </c>
      <c r="K90">
        <v>10</v>
      </c>
      <c r="M90" s="1" t="s">
        <v>51</v>
      </c>
      <c r="N90">
        <v>19630.599999999999</v>
      </c>
      <c r="O90" s="1" t="s">
        <v>23</v>
      </c>
    </row>
    <row r="91" spans="1:15">
      <c r="A91" s="1" t="s">
        <v>166</v>
      </c>
      <c r="B91" s="1" t="s">
        <v>25</v>
      </c>
      <c r="C91" s="1" t="s">
        <v>26</v>
      </c>
      <c r="D91" s="1" t="s">
        <v>27</v>
      </c>
      <c r="E91" s="2">
        <v>46097</v>
      </c>
      <c r="F91" s="2">
        <v>46099</v>
      </c>
      <c r="G91" s="2">
        <v>46100</v>
      </c>
      <c r="H91" s="1" t="s">
        <v>60</v>
      </c>
      <c r="I91" s="1" t="s">
        <v>41</v>
      </c>
      <c r="J91" s="1" t="s">
        <v>30</v>
      </c>
      <c r="K91">
        <v>2</v>
      </c>
      <c r="L91">
        <v>3</v>
      </c>
      <c r="M91" s="1" t="s">
        <v>22</v>
      </c>
      <c r="N91">
        <v>11901.42</v>
      </c>
      <c r="O91" s="1" t="s">
        <v>32</v>
      </c>
    </row>
    <row r="92" spans="1:15">
      <c r="A92" s="1" t="s">
        <v>167</v>
      </c>
      <c r="B92" s="1" t="s">
        <v>115</v>
      </c>
      <c r="C92" s="1" t="s">
        <v>26</v>
      </c>
      <c r="D92" s="1" t="s">
        <v>27</v>
      </c>
      <c r="E92" s="2">
        <v>46072</v>
      </c>
      <c r="F92" s="2">
        <v>46077</v>
      </c>
      <c r="G92" s="2"/>
      <c r="H92" s="1" t="s">
        <v>28</v>
      </c>
      <c r="I92" s="1" t="s">
        <v>38</v>
      </c>
      <c r="J92" s="1" t="s">
        <v>21</v>
      </c>
      <c r="K92">
        <v>5</v>
      </c>
      <c r="L92">
        <v>13</v>
      </c>
      <c r="M92" s="1" t="s">
        <v>22</v>
      </c>
      <c r="N92">
        <v>12357.19</v>
      </c>
      <c r="O92" s="1" t="s">
        <v>95</v>
      </c>
    </row>
    <row r="93" spans="1:15">
      <c r="A93" s="1" t="s">
        <v>168</v>
      </c>
      <c r="B93" s="1" t="s">
        <v>68</v>
      </c>
      <c r="C93" s="1" t="s">
        <v>58</v>
      </c>
      <c r="D93" s="1" t="s">
        <v>59</v>
      </c>
      <c r="E93" s="2">
        <v>45891</v>
      </c>
      <c r="F93" s="2">
        <v>45893</v>
      </c>
      <c r="G93" s="2">
        <v>45907</v>
      </c>
      <c r="H93" s="1" t="s">
        <v>60</v>
      </c>
      <c r="I93" s="1" t="s">
        <v>41</v>
      </c>
      <c r="J93" s="1" t="s">
        <v>30</v>
      </c>
      <c r="K93">
        <v>2</v>
      </c>
      <c r="L93">
        <v>16</v>
      </c>
      <c r="M93" s="1" t="s">
        <v>22</v>
      </c>
      <c r="N93">
        <v>20908.02</v>
      </c>
      <c r="O93" s="1" t="s">
        <v>32</v>
      </c>
    </row>
    <row r="94" spans="1:15">
      <c r="A94" s="1" t="s">
        <v>169</v>
      </c>
      <c r="B94" s="1" t="s">
        <v>92</v>
      </c>
      <c r="C94" s="1" t="s">
        <v>93</v>
      </c>
      <c r="D94" s="1" t="s">
        <v>94</v>
      </c>
      <c r="E94" s="2">
        <v>45773</v>
      </c>
      <c r="F94" s="2">
        <v>45783</v>
      </c>
      <c r="G94" s="2"/>
      <c r="H94" s="1" t="s">
        <v>19</v>
      </c>
      <c r="I94" s="1" t="s">
        <v>20</v>
      </c>
      <c r="J94" s="1" t="s">
        <v>50</v>
      </c>
      <c r="K94">
        <v>10</v>
      </c>
      <c r="M94" s="1" t="s">
        <v>51</v>
      </c>
      <c r="N94">
        <v>16178.12</v>
      </c>
      <c r="O94" s="1" t="s">
        <v>95</v>
      </c>
    </row>
    <row r="95" spans="1:15">
      <c r="A95" s="1" t="s">
        <v>170</v>
      </c>
      <c r="B95" s="1" t="s">
        <v>171</v>
      </c>
      <c r="C95" s="1" t="s">
        <v>77</v>
      </c>
      <c r="D95" s="1" t="s">
        <v>78</v>
      </c>
      <c r="E95" s="2">
        <v>45834</v>
      </c>
      <c r="F95" s="2">
        <v>45839</v>
      </c>
      <c r="G95" s="2"/>
      <c r="H95" s="1" t="s">
        <v>44</v>
      </c>
      <c r="I95" s="1" t="s">
        <v>38</v>
      </c>
      <c r="J95" s="1" t="s">
        <v>21</v>
      </c>
      <c r="K95">
        <v>5</v>
      </c>
      <c r="L95">
        <v>15</v>
      </c>
      <c r="M95" s="1" t="s">
        <v>22</v>
      </c>
      <c r="N95">
        <v>10450.459999999999</v>
      </c>
      <c r="O95" s="1" t="s">
        <v>23</v>
      </c>
    </row>
    <row r="96" spans="1:15">
      <c r="A96" s="1" t="s">
        <v>172</v>
      </c>
      <c r="B96" s="1" t="s">
        <v>68</v>
      </c>
      <c r="C96" s="1" t="s">
        <v>58</v>
      </c>
      <c r="D96" s="1" t="s">
        <v>59</v>
      </c>
      <c r="E96" s="2">
        <v>45979</v>
      </c>
      <c r="F96" s="2">
        <v>45984</v>
      </c>
      <c r="G96" s="2"/>
      <c r="H96" s="1" t="s">
        <v>37</v>
      </c>
      <c r="I96" s="1" t="s">
        <v>38</v>
      </c>
      <c r="J96" s="1" t="s">
        <v>21</v>
      </c>
      <c r="K96">
        <v>5</v>
      </c>
      <c r="L96">
        <v>18</v>
      </c>
      <c r="M96" s="1" t="s">
        <v>22</v>
      </c>
      <c r="N96">
        <v>23246.65</v>
      </c>
      <c r="O96" s="1" t="s">
        <v>32</v>
      </c>
    </row>
    <row r="97" spans="1:15">
      <c r="A97" s="1" t="s">
        <v>173</v>
      </c>
      <c r="B97" s="1" t="s">
        <v>112</v>
      </c>
      <c r="C97" s="1" t="s">
        <v>17</v>
      </c>
      <c r="D97" s="1" t="s">
        <v>18</v>
      </c>
      <c r="E97" s="2">
        <v>45784</v>
      </c>
      <c r="F97" s="2">
        <v>45794</v>
      </c>
      <c r="G97" s="2">
        <v>45804</v>
      </c>
      <c r="H97" s="1" t="s">
        <v>44</v>
      </c>
      <c r="I97" s="1" t="s">
        <v>20</v>
      </c>
      <c r="J97" s="1" t="s">
        <v>30</v>
      </c>
      <c r="K97">
        <v>10</v>
      </c>
      <c r="L97">
        <v>20</v>
      </c>
      <c r="M97" s="1" t="s">
        <v>22</v>
      </c>
      <c r="N97">
        <v>3639.26</v>
      </c>
      <c r="O97" s="1" t="s">
        <v>95</v>
      </c>
    </row>
    <row r="98" spans="1:15">
      <c r="A98" s="1" t="s">
        <v>174</v>
      </c>
      <c r="B98" s="1" t="s">
        <v>83</v>
      </c>
      <c r="C98" s="1" t="s">
        <v>17</v>
      </c>
      <c r="D98" s="1" t="s">
        <v>18</v>
      </c>
      <c r="E98" s="2">
        <v>45779</v>
      </c>
      <c r="F98" s="2">
        <v>45789</v>
      </c>
      <c r="G98" s="2"/>
      <c r="H98" s="1" t="s">
        <v>37</v>
      </c>
      <c r="I98" s="1" t="s">
        <v>20</v>
      </c>
      <c r="J98" s="1" t="s">
        <v>21</v>
      </c>
      <c r="K98">
        <v>10</v>
      </c>
      <c r="L98">
        <v>24</v>
      </c>
      <c r="M98" s="1" t="s">
        <v>22</v>
      </c>
      <c r="N98">
        <v>18626.419999999998</v>
      </c>
      <c r="O98" s="1" t="s">
        <v>23</v>
      </c>
    </row>
    <row r="99" spans="1:15">
      <c r="A99" s="1" t="s">
        <v>175</v>
      </c>
      <c r="B99" s="1" t="s">
        <v>34</v>
      </c>
      <c r="C99" s="1" t="s">
        <v>35</v>
      </c>
      <c r="D99" s="1" t="s">
        <v>36</v>
      </c>
      <c r="E99" s="2">
        <v>45664</v>
      </c>
      <c r="F99" s="2">
        <v>45666</v>
      </c>
      <c r="G99" s="2"/>
      <c r="H99" s="1" t="s">
        <v>19</v>
      </c>
      <c r="I99" s="1" t="s">
        <v>41</v>
      </c>
      <c r="J99" s="1" t="s">
        <v>21</v>
      </c>
      <c r="K99">
        <v>2</v>
      </c>
      <c r="L99">
        <v>9</v>
      </c>
      <c r="M99" s="1" t="s">
        <v>22</v>
      </c>
      <c r="N99">
        <v>10280.92</v>
      </c>
      <c r="O99" s="1" t="s">
        <v>39</v>
      </c>
    </row>
    <row r="100" spans="1:15">
      <c r="A100" s="1" t="s">
        <v>176</v>
      </c>
      <c r="B100" s="1" t="s">
        <v>34</v>
      </c>
      <c r="C100" s="1" t="s">
        <v>35</v>
      </c>
      <c r="D100" s="1" t="s">
        <v>36</v>
      </c>
      <c r="E100" s="2">
        <v>45859</v>
      </c>
      <c r="F100" s="2">
        <v>45869</v>
      </c>
      <c r="G100" s="2">
        <v>45865</v>
      </c>
      <c r="H100" s="1" t="s">
        <v>44</v>
      </c>
      <c r="I100" s="1" t="s">
        <v>20</v>
      </c>
      <c r="J100" s="1" t="s">
        <v>30</v>
      </c>
      <c r="K100">
        <v>10</v>
      </c>
      <c r="L100">
        <v>6</v>
      </c>
      <c r="M100" s="1" t="s">
        <v>31</v>
      </c>
      <c r="N100">
        <v>24444.45</v>
      </c>
      <c r="O100" s="1" t="s">
        <v>39</v>
      </c>
    </row>
    <row r="101" spans="1:15">
      <c r="A101" s="1" t="s">
        <v>177</v>
      </c>
      <c r="B101" s="1" t="s">
        <v>117</v>
      </c>
      <c r="C101" s="1" t="s">
        <v>93</v>
      </c>
      <c r="D101" s="1" t="s">
        <v>94</v>
      </c>
      <c r="E101" s="2">
        <v>45691</v>
      </c>
      <c r="F101" s="2">
        <v>45701</v>
      </c>
      <c r="G101" s="2"/>
      <c r="H101" s="1" t="s">
        <v>37</v>
      </c>
      <c r="I101" s="1" t="s">
        <v>20</v>
      </c>
      <c r="J101" s="1" t="s">
        <v>53</v>
      </c>
      <c r="K101">
        <v>10</v>
      </c>
      <c r="M101" s="1" t="s">
        <v>54</v>
      </c>
      <c r="N101">
        <v>24857.93</v>
      </c>
      <c r="O101" s="1" t="s">
        <v>95</v>
      </c>
    </row>
    <row r="102" spans="1:15">
      <c r="A102" s="1" t="s">
        <v>178</v>
      </c>
      <c r="B102" s="1" t="s">
        <v>83</v>
      </c>
      <c r="C102" s="1" t="s">
        <v>17</v>
      </c>
      <c r="D102" s="1" t="s">
        <v>18</v>
      </c>
      <c r="E102" s="2">
        <v>45786</v>
      </c>
      <c r="F102" s="2">
        <v>45788</v>
      </c>
      <c r="G102" s="2">
        <v>45795</v>
      </c>
      <c r="H102" s="1" t="s">
        <v>28</v>
      </c>
      <c r="I102" s="1" t="s">
        <v>41</v>
      </c>
      <c r="J102" s="1" t="s">
        <v>30</v>
      </c>
      <c r="K102">
        <v>2</v>
      </c>
      <c r="L102">
        <v>9</v>
      </c>
      <c r="M102" s="1" t="s">
        <v>22</v>
      </c>
      <c r="N102">
        <v>11282.89</v>
      </c>
      <c r="O102" s="1" t="s">
        <v>23</v>
      </c>
    </row>
    <row r="103" spans="1:15">
      <c r="A103" s="1" t="s">
        <v>179</v>
      </c>
      <c r="B103" s="1" t="s">
        <v>71</v>
      </c>
      <c r="C103" s="1" t="s">
        <v>72</v>
      </c>
      <c r="D103" s="1" t="s">
        <v>73</v>
      </c>
      <c r="E103" s="2">
        <v>45809</v>
      </c>
      <c r="F103" s="2">
        <v>45811</v>
      </c>
      <c r="G103" s="2"/>
      <c r="H103" s="1" t="s">
        <v>44</v>
      </c>
      <c r="I103" s="1" t="s">
        <v>41</v>
      </c>
      <c r="J103" s="1" t="s">
        <v>53</v>
      </c>
      <c r="K103">
        <v>2</v>
      </c>
      <c r="M103" s="1" t="s">
        <v>54</v>
      </c>
      <c r="N103">
        <v>693.12</v>
      </c>
      <c r="O103" s="1" t="s">
        <v>39</v>
      </c>
    </row>
    <row r="104" spans="1:15">
      <c r="A104" s="1" t="s">
        <v>180</v>
      </c>
      <c r="B104" s="1" t="s">
        <v>64</v>
      </c>
      <c r="C104" s="1" t="s">
        <v>65</v>
      </c>
      <c r="D104" s="1" t="s">
        <v>66</v>
      </c>
      <c r="E104" s="2">
        <v>46124</v>
      </c>
      <c r="F104" s="2">
        <v>46139</v>
      </c>
      <c r="G104" s="2">
        <v>46127</v>
      </c>
      <c r="H104" s="1" t="s">
        <v>19</v>
      </c>
      <c r="I104" s="1" t="s">
        <v>29</v>
      </c>
      <c r="J104" s="1" t="s">
        <v>30</v>
      </c>
      <c r="K104">
        <v>15</v>
      </c>
      <c r="L104">
        <v>3</v>
      </c>
      <c r="M104" s="1" t="s">
        <v>31</v>
      </c>
      <c r="N104">
        <v>9433.0400000000009</v>
      </c>
      <c r="O104" s="1" t="s">
        <v>32</v>
      </c>
    </row>
    <row r="105" spans="1:15">
      <c r="A105" s="1" t="s">
        <v>181</v>
      </c>
      <c r="B105" s="1" t="s">
        <v>71</v>
      </c>
      <c r="C105" s="1" t="s">
        <v>72</v>
      </c>
      <c r="D105" s="1" t="s">
        <v>73</v>
      </c>
      <c r="E105" s="2">
        <v>45917</v>
      </c>
      <c r="F105" s="2">
        <v>45922</v>
      </c>
      <c r="G105" s="2">
        <v>45927</v>
      </c>
      <c r="H105" s="1" t="s">
        <v>60</v>
      </c>
      <c r="I105" s="1" t="s">
        <v>38</v>
      </c>
      <c r="J105" s="1" t="s">
        <v>30</v>
      </c>
      <c r="K105">
        <v>5</v>
      </c>
      <c r="L105">
        <v>10</v>
      </c>
      <c r="M105" s="1" t="s">
        <v>22</v>
      </c>
      <c r="N105">
        <v>3547.23</v>
      </c>
      <c r="O105" s="1" t="s">
        <v>39</v>
      </c>
    </row>
    <row r="106" spans="1:15">
      <c r="A106" s="1" t="s">
        <v>182</v>
      </c>
      <c r="B106" s="1" t="s">
        <v>115</v>
      </c>
      <c r="C106" s="1" t="s">
        <v>26</v>
      </c>
      <c r="D106" s="1" t="s">
        <v>27</v>
      </c>
      <c r="E106" s="2">
        <v>46085</v>
      </c>
      <c r="F106" s="2">
        <v>46087</v>
      </c>
      <c r="G106" s="2"/>
      <c r="H106" s="1" t="s">
        <v>37</v>
      </c>
      <c r="I106" s="1" t="s">
        <v>41</v>
      </c>
      <c r="J106" s="1" t="s">
        <v>50</v>
      </c>
      <c r="K106">
        <v>2</v>
      </c>
      <c r="M106" s="1" t="s">
        <v>51</v>
      </c>
      <c r="N106">
        <v>11301.01</v>
      </c>
      <c r="O106" s="1" t="s">
        <v>95</v>
      </c>
    </row>
    <row r="107" spans="1:15">
      <c r="A107" s="1" t="s">
        <v>183</v>
      </c>
      <c r="B107" s="1" t="s">
        <v>64</v>
      </c>
      <c r="C107" s="1" t="s">
        <v>65</v>
      </c>
      <c r="D107" s="1" t="s">
        <v>66</v>
      </c>
      <c r="E107" s="2">
        <v>45981</v>
      </c>
      <c r="F107" s="2">
        <v>45991</v>
      </c>
      <c r="G107" s="2">
        <v>45987</v>
      </c>
      <c r="H107" s="1" t="s">
        <v>49</v>
      </c>
      <c r="I107" s="1" t="s">
        <v>20</v>
      </c>
      <c r="J107" s="1" t="s">
        <v>30</v>
      </c>
      <c r="K107">
        <v>10</v>
      </c>
      <c r="L107">
        <v>6</v>
      </c>
      <c r="M107" s="1" t="s">
        <v>31</v>
      </c>
      <c r="N107">
        <v>23838.2</v>
      </c>
      <c r="O107" s="1" t="s">
        <v>32</v>
      </c>
    </row>
    <row r="108" spans="1:15">
      <c r="A108" s="1" t="s">
        <v>184</v>
      </c>
      <c r="B108" s="1" t="s">
        <v>68</v>
      </c>
      <c r="C108" s="1" t="s">
        <v>58</v>
      </c>
      <c r="D108" s="1" t="s">
        <v>59</v>
      </c>
      <c r="E108" s="2">
        <v>46085</v>
      </c>
      <c r="F108" s="2">
        <v>46100</v>
      </c>
      <c r="G108" s="2"/>
      <c r="H108" s="1" t="s">
        <v>60</v>
      </c>
      <c r="I108" s="1" t="s">
        <v>29</v>
      </c>
      <c r="J108" s="1" t="s">
        <v>53</v>
      </c>
      <c r="K108">
        <v>15</v>
      </c>
      <c r="M108" s="1" t="s">
        <v>54</v>
      </c>
      <c r="N108">
        <v>23790.34</v>
      </c>
      <c r="O108" s="1" t="s">
        <v>32</v>
      </c>
    </row>
    <row r="109" spans="1:15">
      <c r="A109" s="1" t="s">
        <v>185</v>
      </c>
      <c r="B109" s="1" t="s">
        <v>171</v>
      </c>
      <c r="C109" s="1" t="s">
        <v>77</v>
      </c>
      <c r="D109" s="1" t="s">
        <v>78</v>
      </c>
      <c r="E109" s="2">
        <v>45773</v>
      </c>
      <c r="F109" s="2">
        <v>45788</v>
      </c>
      <c r="G109" s="2">
        <v>45782</v>
      </c>
      <c r="H109" s="1" t="s">
        <v>37</v>
      </c>
      <c r="I109" s="1" t="s">
        <v>29</v>
      </c>
      <c r="J109" s="1" t="s">
        <v>30</v>
      </c>
      <c r="K109">
        <v>15</v>
      </c>
      <c r="L109">
        <v>9</v>
      </c>
      <c r="M109" s="1" t="s">
        <v>31</v>
      </c>
      <c r="N109">
        <v>10936.97</v>
      </c>
      <c r="O109" s="1" t="s">
        <v>23</v>
      </c>
    </row>
    <row r="110" spans="1:15">
      <c r="A110" s="1" t="s">
        <v>186</v>
      </c>
      <c r="B110" s="1" t="s">
        <v>86</v>
      </c>
      <c r="C110" s="1" t="s">
        <v>47</v>
      </c>
      <c r="D110" s="1" t="s">
        <v>48</v>
      </c>
      <c r="E110" s="2">
        <v>45717</v>
      </c>
      <c r="F110" s="2">
        <v>45732</v>
      </c>
      <c r="G110" s="2"/>
      <c r="H110" s="1" t="s">
        <v>37</v>
      </c>
      <c r="I110" s="1" t="s">
        <v>29</v>
      </c>
      <c r="J110" s="1" t="s">
        <v>50</v>
      </c>
      <c r="K110">
        <v>15</v>
      </c>
      <c r="M110" s="1" t="s">
        <v>51</v>
      </c>
      <c r="N110">
        <v>17702.099999999999</v>
      </c>
      <c r="O110" s="1" t="s">
        <v>79</v>
      </c>
    </row>
    <row r="111" spans="1:15">
      <c r="A111" s="1" t="s">
        <v>187</v>
      </c>
      <c r="B111" s="1" t="s">
        <v>76</v>
      </c>
      <c r="C111" s="1" t="s">
        <v>77</v>
      </c>
      <c r="D111" s="1" t="s">
        <v>78</v>
      </c>
      <c r="E111" s="2">
        <v>46116</v>
      </c>
      <c r="F111" s="2">
        <v>46118</v>
      </c>
      <c r="G111" s="2"/>
      <c r="H111" s="1" t="s">
        <v>60</v>
      </c>
      <c r="I111" s="1" t="s">
        <v>41</v>
      </c>
      <c r="J111" s="1" t="s">
        <v>53</v>
      </c>
      <c r="K111">
        <v>2</v>
      </c>
      <c r="M111" s="1" t="s">
        <v>54</v>
      </c>
      <c r="N111">
        <v>15941.43</v>
      </c>
      <c r="O111" s="1" t="s">
        <v>79</v>
      </c>
    </row>
    <row r="112" spans="1:15">
      <c r="A112" s="1" t="s">
        <v>188</v>
      </c>
      <c r="B112" s="1" t="s">
        <v>97</v>
      </c>
      <c r="C112" s="1" t="s">
        <v>58</v>
      </c>
      <c r="D112" s="1" t="s">
        <v>59</v>
      </c>
      <c r="E112" s="2">
        <v>45843</v>
      </c>
      <c r="F112" s="2">
        <v>45858</v>
      </c>
      <c r="G112" s="2">
        <v>45846</v>
      </c>
      <c r="H112" s="1" t="s">
        <v>44</v>
      </c>
      <c r="I112" s="1" t="s">
        <v>29</v>
      </c>
      <c r="J112" s="1" t="s">
        <v>30</v>
      </c>
      <c r="K112">
        <v>15</v>
      </c>
      <c r="L112">
        <v>3</v>
      </c>
      <c r="M112" s="1" t="s">
        <v>31</v>
      </c>
      <c r="N112">
        <v>21739.31</v>
      </c>
      <c r="O112" s="1" t="s">
        <v>39</v>
      </c>
    </row>
    <row r="113" spans="1:15">
      <c r="A113" s="1" t="s">
        <v>189</v>
      </c>
      <c r="B113" s="1" t="s">
        <v>171</v>
      </c>
      <c r="C113" s="1" t="s">
        <v>77</v>
      </c>
      <c r="D113" s="1" t="s">
        <v>78</v>
      </c>
      <c r="E113" s="2">
        <v>46193</v>
      </c>
      <c r="F113" s="2">
        <v>46203</v>
      </c>
      <c r="G113" s="2">
        <v>46205</v>
      </c>
      <c r="H113" s="1" t="s">
        <v>37</v>
      </c>
      <c r="I113" s="1" t="s">
        <v>20</v>
      </c>
      <c r="J113" s="1" t="s">
        <v>30</v>
      </c>
      <c r="K113">
        <v>10</v>
      </c>
      <c r="L113">
        <v>12</v>
      </c>
      <c r="M113" s="1" t="s">
        <v>22</v>
      </c>
      <c r="N113">
        <v>9889.24</v>
      </c>
      <c r="O113" s="1" t="s">
        <v>23</v>
      </c>
    </row>
    <row r="114" spans="1:15">
      <c r="A114" s="1" t="s">
        <v>190</v>
      </c>
      <c r="B114" s="1" t="s">
        <v>68</v>
      </c>
      <c r="C114" s="1" t="s">
        <v>58</v>
      </c>
      <c r="D114" s="1" t="s">
        <v>59</v>
      </c>
      <c r="E114" s="2">
        <v>45849</v>
      </c>
      <c r="F114" s="2">
        <v>45851</v>
      </c>
      <c r="G114" s="2"/>
      <c r="H114" s="1" t="s">
        <v>37</v>
      </c>
      <c r="I114" s="1" t="s">
        <v>41</v>
      </c>
      <c r="J114" s="1" t="s">
        <v>50</v>
      </c>
      <c r="K114">
        <v>2</v>
      </c>
      <c r="M114" s="1" t="s">
        <v>51</v>
      </c>
      <c r="N114">
        <v>3868.74</v>
      </c>
      <c r="O114" s="1" t="s">
        <v>32</v>
      </c>
    </row>
    <row r="115" spans="1:15">
      <c r="A115" s="1" t="s">
        <v>191</v>
      </c>
      <c r="B115" s="1" t="s">
        <v>100</v>
      </c>
      <c r="C115" s="1" t="s">
        <v>47</v>
      </c>
      <c r="D115" s="1" t="s">
        <v>48</v>
      </c>
      <c r="E115" s="2">
        <v>45897</v>
      </c>
      <c r="F115" s="2">
        <v>45899</v>
      </c>
      <c r="G115" s="2"/>
      <c r="H115" s="1" t="s">
        <v>44</v>
      </c>
      <c r="I115" s="1" t="s">
        <v>41</v>
      </c>
      <c r="J115" s="1" t="s">
        <v>50</v>
      </c>
      <c r="K115">
        <v>2</v>
      </c>
      <c r="M115" s="1" t="s">
        <v>51</v>
      </c>
      <c r="N115">
        <v>6223.88</v>
      </c>
      <c r="O115" s="1" t="s">
        <v>39</v>
      </c>
    </row>
    <row r="116" spans="1:15">
      <c r="A116" s="1" t="s">
        <v>192</v>
      </c>
      <c r="B116" s="1" t="s">
        <v>25</v>
      </c>
      <c r="C116" s="1" t="s">
        <v>26</v>
      </c>
      <c r="D116" s="1" t="s">
        <v>27</v>
      </c>
      <c r="E116" s="2">
        <v>45823</v>
      </c>
      <c r="F116" s="2">
        <v>45828</v>
      </c>
      <c r="G116" s="2">
        <v>45831</v>
      </c>
      <c r="H116" s="1" t="s">
        <v>44</v>
      </c>
      <c r="I116" s="1" t="s">
        <v>38</v>
      </c>
      <c r="J116" s="1" t="s">
        <v>30</v>
      </c>
      <c r="K116">
        <v>5</v>
      </c>
      <c r="L116">
        <v>8</v>
      </c>
      <c r="M116" s="1" t="s">
        <v>22</v>
      </c>
      <c r="N116">
        <v>9732.0300000000007</v>
      </c>
      <c r="O116" s="1" t="s">
        <v>32</v>
      </c>
    </row>
    <row r="117" spans="1:15">
      <c r="A117" s="1" t="s">
        <v>193</v>
      </c>
      <c r="B117" s="1" t="s">
        <v>171</v>
      </c>
      <c r="C117" s="1" t="s">
        <v>77</v>
      </c>
      <c r="D117" s="1" t="s">
        <v>78</v>
      </c>
      <c r="E117" s="2">
        <v>45972</v>
      </c>
      <c r="F117" s="2">
        <v>45974</v>
      </c>
      <c r="G117" s="2">
        <v>45973</v>
      </c>
      <c r="H117" s="1" t="s">
        <v>37</v>
      </c>
      <c r="I117" s="1" t="s">
        <v>41</v>
      </c>
      <c r="J117" s="1" t="s">
        <v>30</v>
      </c>
      <c r="K117">
        <v>2</v>
      </c>
      <c r="L117">
        <v>1</v>
      </c>
      <c r="M117" s="1" t="s">
        <v>31</v>
      </c>
      <c r="N117">
        <v>8960.35</v>
      </c>
      <c r="O117" s="1" t="s">
        <v>23</v>
      </c>
    </row>
    <row r="118" spans="1:15">
      <c r="A118" s="1" t="s">
        <v>194</v>
      </c>
      <c r="B118" s="1" t="s">
        <v>97</v>
      </c>
      <c r="C118" s="1" t="s">
        <v>58</v>
      </c>
      <c r="D118" s="1" t="s">
        <v>59</v>
      </c>
      <c r="E118" s="2">
        <v>45924</v>
      </c>
      <c r="F118" s="2">
        <v>45934</v>
      </c>
      <c r="G118" s="2">
        <v>45943</v>
      </c>
      <c r="H118" s="1" t="s">
        <v>44</v>
      </c>
      <c r="I118" s="1" t="s">
        <v>20</v>
      </c>
      <c r="J118" s="1" t="s">
        <v>30</v>
      </c>
      <c r="K118">
        <v>10</v>
      </c>
      <c r="L118">
        <v>19</v>
      </c>
      <c r="M118" s="1" t="s">
        <v>22</v>
      </c>
      <c r="N118">
        <v>24298.880000000001</v>
      </c>
      <c r="O118" s="1" t="s">
        <v>39</v>
      </c>
    </row>
    <row r="119" spans="1:15">
      <c r="A119" s="1" t="s">
        <v>195</v>
      </c>
      <c r="B119" s="1" t="s">
        <v>68</v>
      </c>
      <c r="C119" s="1" t="s">
        <v>58</v>
      </c>
      <c r="D119" s="1" t="s">
        <v>59</v>
      </c>
      <c r="E119" s="2">
        <v>46065</v>
      </c>
      <c r="F119" s="2">
        <v>46070</v>
      </c>
      <c r="G119" s="2">
        <v>46081</v>
      </c>
      <c r="H119" s="1" t="s">
        <v>49</v>
      </c>
      <c r="I119" s="1" t="s">
        <v>38</v>
      </c>
      <c r="J119" s="1" t="s">
        <v>30</v>
      </c>
      <c r="K119">
        <v>5</v>
      </c>
      <c r="L119">
        <v>16</v>
      </c>
      <c r="M119" s="1" t="s">
        <v>22</v>
      </c>
      <c r="N119">
        <v>6311.26</v>
      </c>
      <c r="O119" s="1" t="s">
        <v>32</v>
      </c>
    </row>
    <row r="120" spans="1:15">
      <c r="A120" s="1" t="s">
        <v>196</v>
      </c>
      <c r="B120" s="1" t="s">
        <v>83</v>
      </c>
      <c r="C120" s="1" t="s">
        <v>17</v>
      </c>
      <c r="D120" s="1" t="s">
        <v>18</v>
      </c>
      <c r="E120" s="2">
        <v>45746</v>
      </c>
      <c r="F120" s="2">
        <v>45756</v>
      </c>
      <c r="G120" s="2">
        <v>45759</v>
      </c>
      <c r="H120" s="1" t="s">
        <v>19</v>
      </c>
      <c r="I120" s="1" t="s">
        <v>20</v>
      </c>
      <c r="J120" s="1" t="s">
        <v>30</v>
      </c>
      <c r="K120">
        <v>10</v>
      </c>
      <c r="L120">
        <v>13</v>
      </c>
      <c r="M120" s="1" t="s">
        <v>22</v>
      </c>
      <c r="N120">
        <v>16535.849999999999</v>
      </c>
      <c r="O120" s="1" t="s">
        <v>23</v>
      </c>
    </row>
    <row r="121" spans="1:15">
      <c r="A121" s="1" t="s">
        <v>197</v>
      </c>
      <c r="B121" s="1" t="s">
        <v>25</v>
      </c>
      <c r="C121" s="1" t="s">
        <v>26</v>
      </c>
      <c r="D121" s="1" t="s">
        <v>27</v>
      </c>
      <c r="E121" s="2">
        <v>45865</v>
      </c>
      <c r="F121" s="2">
        <v>45867</v>
      </c>
      <c r="G121" s="2">
        <v>45877</v>
      </c>
      <c r="H121" s="1" t="s">
        <v>60</v>
      </c>
      <c r="I121" s="1" t="s">
        <v>41</v>
      </c>
      <c r="J121" s="1" t="s">
        <v>30</v>
      </c>
      <c r="K121">
        <v>2</v>
      </c>
      <c r="L121">
        <v>12</v>
      </c>
      <c r="M121" s="1" t="s">
        <v>22</v>
      </c>
      <c r="N121">
        <v>11083.38</v>
      </c>
      <c r="O121" s="1" t="s">
        <v>32</v>
      </c>
    </row>
    <row r="122" spans="1:15">
      <c r="A122" s="1" t="s">
        <v>198</v>
      </c>
      <c r="B122" s="1" t="s">
        <v>171</v>
      </c>
      <c r="C122" s="1" t="s">
        <v>77</v>
      </c>
      <c r="D122" s="1" t="s">
        <v>78</v>
      </c>
      <c r="E122" s="2">
        <v>46025</v>
      </c>
      <c r="F122" s="2">
        <v>46030</v>
      </c>
      <c r="G122" s="2"/>
      <c r="H122" s="1" t="s">
        <v>60</v>
      </c>
      <c r="I122" s="1" t="s">
        <v>38</v>
      </c>
      <c r="J122" s="1" t="s">
        <v>50</v>
      </c>
      <c r="K122">
        <v>5</v>
      </c>
      <c r="M122" s="1" t="s">
        <v>51</v>
      </c>
      <c r="N122">
        <v>12252.23</v>
      </c>
      <c r="O122" s="1" t="s">
        <v>23</v>
      </c>
    </row>
    <row r="123" spans="1:15">
      <c r="A123" s="1" t="s">
        <v>199</v>
      </c>
      <c r="B123" s="1" t="s">
        <v>68</v>
      </c>
      <c r="C123" s="1" t="s">
        <v>58</v>
      </c>
      <c r="D123" s="1" t="s">
        <v>59</v>
      </c>
      <c r="E123" s="2">
        <v>45782</v>
      </c>
      <c r="F123" s="2">
        <v>45797</v>
      </c>
      <c r="G123" s="2"/>
      <c r="H123" s="1" t="s">
        <v>37</v>
      </c>
      <c r="I123" s="1" t="s">
        <v>29</v>
      </c>
      <c r="J123" s="1" t="s">
        <v>50</v>
      </c>
      <c r="K123">
        <v>15</v>
      </c>
      <c r="M123" s="1" t="s">
        <v>51</v>
      </c>
      <c r="N123">
        <v>5161.1099999999997</v>
      </c>
      <c r="O123" s="1" t="s">
        <v>32</v>
      </c>
    </row>
    <row r="124" spans="1:15">
      <c r="A124" s="1" t="s">
        <v>200</v>
      </c>
      <c r="B124" s="1" t="s">
        <v>83</v>
      </c>
      <c r="C124" s="1" t="s">
        <v>17</v>
      </c>
      <c r="D124" s="1" t="s">
        <v>18</v>
      </c>
      <c r="E124" s="2">
        <v>45975</v>
      </c>
      <c r="F124" s="2">
        <v>45985</v>
      </c>
      <c r="G124" s="2"/>
      <c r="H124" s="1" t="s">
        <v>60</v>
      </c>
      <c r="I124" s="1" t="s">
        <v>20</v>
      </c>
      <c r="J124" s="1" t="s">
        <v>53</v>
      </c>
      <c r="K124">
        <v>10</v>
      </c>
      <c r="M124" s="1" t="s">
        <v>54</v>
      </c>
      <c r="N124">
        <v>18464.82</v>
      </c>
      <c r="O124" s="1" t="s">
        <v>23</v>
      </c>
    </row>
    <row r="125" spans="1:15">
      <c r="A125" s="1" t="s">
        <v>201</v>
      </c>
      <c r="B125" s="1" t="s">
        <v>117</v>
      </c>
      <c r="C125" s="1" t="s">
        <v>93</v>
      </c>
      <c r="D125" s="1" t="s">
        <v>94</v>
      </c>
      <c r="E125" s="2">
        <v>45772</v>
      </c>
      <c r="F125" s="2">
        <v>45774</v>
      </c>
      <c r="G125" s="2">
        <v>45779</v>
      </c>
      <c r="H125" s="1" t="s">
        <v>37</v>
      </c>
      <c r="I125" s="1" t="s">
        <v>41</v>
      </c>
      <c r="J125" s="1" t="s">
        <v>30</v>
      </c>
      <c r="K125">
        <v>2</v>
      </c>
      <c r="L125">
        <v>7</v>
      </c>
      <c r="M125" s="1" t="s">
        <v>22</v>
      </c>
      <c r="N125">
        <v>4529.0600000000004</v>
      </c>
      <c r="O125" s="1" t="s">
        <v>95</v>
      </c>
    </row>
    <row r="126" spans="1:15">
      <c r="A126" s="1" t="s">
        <v>202</v>
      </c>
      <c r="B126" s="1" t="s">
        <v>92</v>
      </c>
      <c r="C126" s="1" t="s">
        <v>93</v>
      </c>
      <c r="D126" s="1" t="s">
        <v>94</v>
      </c>
      <c r="E126" s="2">
        <v>45683</v>
      </c>
      <c r="F126" s="2">
        <v>45685</v>
      </c>
      <c r="G126" s="2"/>
      <c r="H126" s="1" t="s">
        <v>28</v>
      </c>
      <c r="I126" s="1" t="s">
        <v>41</v>
      </c>
      <c r="J126" s="1" t="s">
        <v>21</v>
      </c>
      <c r="K126">
        <v>2</v>
      </c>
      <c r="L126">
        <v>5</v>
      </c>
      <c r="M126" s="1" t="s">
        <v>22</v>
      </c>
      <c r="N126">
        <v>8009.42</v>
      </c>
      <c r="O126" s="1" t="s">
        <v>95</v>
      </c>
    </row>
    <row r="127" spans="1:15">
      <c r="A127" s="1" t="s">
        <v>203</v>
      </c>
      <c r="B127" s="1" t="s">
        <v>64</v>
      </c>
      <c r="C127" s="1" t="s">
        <v>65</v>
      </c>
      <c r="D127" s="1" t="s">
        <v>66</v>
      </c>
      <c r="E127" s="2">
        <v>45872</v>
      </c>
      <c r="F127" s="2">
        <v>45882</v>
      </c>
      <c r="G127" s="2"/>
      <c r="H127" s="1" t="s">
        <v>28</v>
      </c>
      <c r="I127" s="1" t="s">
        <v>20</v>
      </c>
      <c r="J127" s="1" t="s">
        <v>53</v>
      </c>
      <c r="K127">
        <v>10</v>
      </c>
      <c r="M127" s="1" t="s">
        <v>54</v>
      </c>
      <c r="N127">
        <v>12746.36</v>
      </c>
      <c r="O127" s="1" t="s">
        <v>32</v>
      </c>
    </row>
    <row r="128" spans="1:15">
      <c r="A128" s="1" t="s">
        <v>204</v>
      </c>
      <c r="B128" s="1" t="s">
        <v>68</v>
      </c>
      <c r="C128" s="1" t="s">
        <v>58</v>
      </c>
      <c r="D128" s="1" t="s">
        <v>59</v>
      </c>
      <c r="E128" s="2">
        <v>46046</v>
      </c>
      <c r="F128" s="2">
        <v>46056</v>
      </c>
      <c r="G128" s="2"/>
      <c r="H128" s="1" t="s">
        <v>37</v>
      </c>
      <c r="I128" s="1" t="s">
        <v>20</v>
      </c>
      <c r="J128" s="1" t="s">
        <v>53</v>
      </c>
      <c r="K128">
        <v>10</v>
      </c>
      <c r="M128" s="1" t="s">
        <v>54</v>
      </c>
      <c r="N128">
        <v>10655.47</v>
      </c>
      <c r="O128" s="1" t="s">
        <v>32</v>
      </c>
    </row>
    <row r="129" spans="1:15">
      <c r="A129" s="1" t="s">
        <v>205</v>
      </c>
      <c r="B129" s="1" t="s">
        <v>57</v>
      </c>
      <c r="C129" s="1" t="s">
        <v>58</v>
      </c>
      <c r="D129" s="1" t="s">
        <v>59</v>
      </c>
      <c r="E129" s="2">
        <v>46170</v>
      </c>
      <c r="F129" s="2">
        <v>46175</v>
      </c>
      <c r="G129" s="2"/>
      <c r="H129" s="1" t="s">
        <v>19</v>
      </c>
      <c r="I129" s="1" t="s">
        <v>38</v>
      </c>
      <c r="J129" s="1" t="s">
        <v>50</v>
      </c>
      <c r="K129">
        <v>5</v>
      </c>
      <c r="M129" s="1" t="s">
        <v>51</v>
      </c>
      <c r="N129">
        <v>15856.88</v>
      </c>
      <c r="O129" s="1" t="s">
        <v>39</v>
      </c>
    </row>
    <row r="130" spans="1:15">
      <c r="A130" s="1" t="s">
        <v>206</v>
      </c>
      <c r="B130" s="1" t="s">
        <v>97</v>
      </c>
      <c r="C130" s="1" t="s">
        <v>58</v>
      </c>
      <c r="D130" s="1" t="s">
        <v>59</v>
      </c>
      <c r="E130" s="2">
        <v>46048</v>
      </c>
      <c r="F130" s="2">
        <v>46058</v>
      </c>
      <c r="G130" s="2"/>
      <c r="H130" s="1" t="s">
        <v>37</v>
      </c>
      <c r="I130" s="1" t="s">
        <v>20</v>
      </c>
      <c r="J130" s="1" t="s">
        <v>21</v>
      </c>
      <c r="K130">
        <v>10</v>
      </c>
      <c r="L130">
        <v>29</v>
      </c>
      <c r="M130" s="1" t="s">
        <v>22</v>
      </c>
      <c r="N130">
        <v>12681.85</v>
      </c>
      <c r="O130" s="1" t="s">
        <v>39</v>
      </c>
    </row>
    <row r="131" spans="1:15">
      <c r="A131" s="1" t="s">
        <v>207</v>
      </c>
      <c r="B131" s="1" t="s">
        <v>86</v>
      </c>
      <c r="C131" s="1" t="s">
        <v>47</v>
      </c>
      <c r="D131" s="1" t="s">
        <v>48</v>
      </c>
      <c r="E131" s="2">
        <v>46202</v>
      </c>
      <c r="F131" s="2">
        <v>46212</v>
      </c>
      <c r="G131" s="2">
        <v>46212</v>
      </c>
      <c r="H131" s="1" t="s">
        <v>28</v>
      </c>
      <c r="I131" s="1" t="s">
        <v>20</v>
      </c>
      <c r="J131" s="1" t="s">
        <v>30</v>
      </c>
      <c r="K131">
        <v>10</v>
      </c>
      <c r="L131">
        <v>10</v>
      </c>
      <c r="M131" s="1" t="s">
        <v>31</v>
      </c>
      <c r="N131">
        <v>23968.49</v>
      </c>
      <c r="O131" s="1" t="s">
        <v>79</v>
      </c>
    </row>
    <row r="132" spans="1:15">
      <c r="A132" s="1" t="s">
        <v>208</v>
      </c>
      <c r="B132" s="1" t="s">
        <v>115</v>
      </c>
      <c r="C132" s="1" t="s">
        <v>26</v>
      </c>
      <c r="D132" s="1" t="s">
        <v>27</v>
      </c>
      <c r="E132" s="2">
        <v>45821</v>
      </c>
      <c r="F132" s="2">
        <v>45831</v>
      </c>
      <c r="G132" s="2"/>
      <c r="H132" s="1" t="s">
        <v>19</v>
      </c>
      <c r="I132" s="1" t="s">
        <v>20</v>
      </c>
      <c r="J132" s="1" t="s">
        <v>50</v>
      </c>
      <c r="K132">
        <v>10</v>
      </c>
      <c r="M132" s="1" t="s">
        <v>51</v>
      </c>
      <c r="N132">
        <v>24649.119999999999</v>
      </c>
      <c r="O132" s="1" t="s">
        <v>95</v>
      </c>
    </row>
    <row r="133" spans="1:15">
      <c r="A133" s="1" t="s">
        <v>209</v>
      </c>
      <c r="B133" s="1" t="s">
        <v>105</v>
      </c>
      <c r="C133" s="1" t="s">
        <v>106</v>
      </c>
      <c r="D133" s="1" t="s">
        <v>107</v>
      </c>
      <c r="E133" s="2">
        <v>45673</v>
      </c>
      <c r="F133" s="2">
        <v>45688</v>
      </c>
      <c r="G133" s="2">
        <v>45680</v>
      </c>
      <c r="H133" s="1" t="s">
        <v>60</v>
      </c>
      <c r="I133" s="1" t="s">
        <v>29</v>
      </c>
      <c r="J133" s="1" t="s">
        <v>30</v>
      </c>
      <c r="K133">
        <v>15</v>
      </c>
      <c r="L133">
        <v>7</v>
      </c>
      <c r="M133" s="1" t="s">
        <v>31</v>
      </c>
      <c r="N133">
        <v>22685.54</v>
      </c>
      <c r="O133" s="1" t="s">
        <v>32</v>
      </c>
    </row>
    <row r="134" spans="1:15">
      <c r="A134" s="1" t="s">
        <v>210</v>
      </c>
      <c r="B134" s="1" t="s">
        <v>105</v>
      </c>
      <c r="C134" s="1" t="s">
        <v>106</v>
      </c>
      <c r="D134" s="1" t="s">
        <v>107</v>
      </c>
      <c r="E134" s="2">
        <v>45923</v>
      </c>
      <c r="F134" s="2">
        <v>45933</v>
      </c>
      <c r="G134" s="2"/>
      <c r="H134" s="1" t="s">
        <v>37</v>
      </c>
      <c r="I134" s="1" t="s">
        <v>20</v>
      </c>
      <c r="J134" s="1" t="s">
        <v>50</v>
      </c>
      <c r="K134">
        <v>10</v>
      </c>
      <c r="M134" s="1" t="s">
        <v>51</v>
      </c>
      <c r="N134">
        <v>13986.34</v>
      </c>
      <c r="O134" s="1" t="s">
        <v>32</v>
      </c>
    </row>
    <row r="135" spans="1:15">
      <c r="A135" s="1" t="s">
        <v>211</v>
      </c>
      <c r="B135" s="1" t="s">
        <v>76</v>
      </c>
      <c r="C135" s="1" t="s">
        <v>77</v>
      </c>
      <c r="D135" s="1" t="s">
        <v>78</v>
      </c>
      <c r="E135" s="2">
        <v>45931</v>
      </c>
      <c r="F135" s="2">
        <v>45936</v>
      </c>
      <c r="G135" s="2"/>
      <c r="H135" s="1" t="s">
        <v>49</v>
      </c>
      <c r="I135" s="1" t="s">
        <v>38</v>
      </c>
      <c r="J135" s="1" t="s">
        <v>50</v>
      </c>
      <c r="K135">
        <v>5</v>
      </c>
      <c r="M135" s="1" t="s">
        <v>51</v>
      </c>
      <c r="N135">
        <v>24738.83</v>
      </c>
      <c r="O135" s="1" t="s">
        <v>79</v>
      </c>
    </row>
    <row r="136" spans="1:15">
      <c r="A136" s="1" t="s">
        <v>212</v>
      </c>
      <c r="B136" s="1" t="s">
        <v>97</v>
      </c>
      <c r="C136" s="1" t="s">
        <v>58</v>
      </c>
      <c r="D136" s="1" t="s">
        <v>59</v>
      </c>
      <c r="E136" s="2">
        <v>45825</v>
      </c>
      <c r="F136" s="2">
        <v>45840</v>
      </c>
      <c r="G136" s="2"/>
      <c r="H136" s="1" t="s">
        <v>28</v>
      </c>
      <c r="I136" s="1" t="s">
        <v>29</v>
      </c>
      <c r="J136" s="1" t="s">
        <v>50</v>
      </c>
      <c r="K136">
        <v>15</v>
      </c>
      <c r="M136" s="1" t="s">
        <v>51</v>
      </c>
      <c r="N136">
        <v>24231.63</v>
      </c>
      <c r="O136" s="1" t="s">
        <v>39</v>
      </c>
    </row>
    <row r="137" spans="1:15">
      <c r="A137" s="1" t="s">
        <v>213</v>
      </c>
      <c r="B137" s="1" t="s">
        <v>117</v>
      </c>
      <c r="C137" s="1" t="s">
        <v>93</v>
      </c>
      <c r="D137" s="1" t="s">
        <v>94</v>
      </c>
      <c r="E137" s="2">
        <v>46164</v>
      </c>
      <c r="F137" s="2">
        <v>46169</v>
      </c>
      <c r="G137" s="2"/>
      <c r="H137" s="1" t="s">
        <v>44</v>
      </c>
      <c r="I137" s="1" t="s">
        <v>38</v>
      </c>
      <c r="J137" s="1" t="s">
        <v>50</v>
      </c>
      <c r="K137">
        <v>5</v>
      </c>
      <c r="M137" s="1" t="s">
        <v>51</v>
      </c>
      <c r="N137">
        <v>16395.2</v>
      </c>
      <c r="O137" s="1" t="s">
        <v>95</v>
      </c>
    </row>
    <row r="138" spans="1:15">
      <c r="A138" s="1" t="s">
        <v>214</v>
      </c>
      <c r="B138" s="1" t="s">
        <v>16</v>
      </c>
      <c r="C138" s="1" t="s">
        <v>17</v>
      </c>
      <c r="D138" s="1" t="s">
        <v>18</v>
      </c>
      <c r="E138" s="2">
        <v>46135</v>
      </c>
      <c r="F138" s="2">
        <v>46137</v>
      </c>
      <c r="G138" s="2"/>
      <c r="H138" s="1" t="s">
        <v>37</v>
      </c>
      <c r="I138" s="1" t="s">
        <v>41</v>
      </c>
      <c r="J138" s="1" t="s">
        <v>53</v>
      </c>
      <c r="K138">
        <v>2</v>
      </c>
      <c r="M138" s="1" t="s">
        <v>54</v>
      </c>
      <c r="N138">
        <v>1358.63</v>
      </c>
      <c r="O138" s="1" t="s">
        <v>23</v>
      </c>
    </row>
    <row r="139" spans="1:15">
      <c r="A139" s="1" t="s">
        <v>215</v>
      </c>
      <c r="B139" s="1" t="s">
        <v>68</v>
      </c>
      <c r="C139" s="1" t="s">
        <v>58</v>
      </c>
      <c r="D139" s="1" t="s">
        <v>59</v>
      </c>
      <c r="E139" s="2">
        <v>45867</v>
      </c>
      <c r="F139" s="2">
        <v>45869</v>
      </c>
      <c r="G139" s="2"/>
      <c r="H139" s="1" t="s">
        <v>28</v>
      </c>
      <c r="I139" s="1" t="s">
        <v>41</v>
      </c>
      <c r="J139" s="1" t="s">
        <v>50</v>
      </c>
      <c r="K139">
        <v>2</v>
      </c>
      <c r="M139" s="1" t="s">
        <v>51</v>
      </c>
      <c r="N139">
        <v>15552.82</v>
      </c>
      <c r="O139" s="1" t="s">
        <v>32</v>
      </c>
    </row>
    <row r="140" spans="1:15">
      <c r="A140" s="1" t="s">
        <v>216</v>
      </c>
      <c r="B140" s="1" t="s">
        <v>112</v>
      </c>
      <c r="C140" s="1" t="s">
        <v>17</v>
      </c>
      <c r="D140" s="1" t="s">
        <v>18</v>
      </c>
      <c r="E140" s="2">
        <v>45999</v>
      </c>
      <c r="F140" s="2">
        <v>46001</v>
      </c>
      <c r="G140" s="2"/>
      <c r="H140" s="1" t="s">
        <v>19</v>
      </c>
      <c r="I140" s="1" t="s">
        <v>41</v>
      </c>
      <c r="J140" s="1" t="s">
        <v>50</v>
      </c>
      <c r="K140">
        <v>2</v>
      </c>
      <c r="M140" s="1" t="s">
        <v>51</v>
      </c>
      <c r="N140">
        <v>22288.41</v>
      </c>
      <c r="O140" s="1" t="s">
        <v>95</v>
      </c>
    </row>
    <row r="141" spans="1:15">
      <c r="A141" s="1" t="s">
        <v>217</v>
      </c>
      <c r="B141" s="1" t="s">
        <v>117</v>
      </c>
      <c r="C141" s="1" t="s">
        <v>93</v>
      </c>
      <c r="D141" s="1" t="s">
        <v>94</v>
      </c>
      <c r="E141" s="2">
        <v>46159</v>
      </c>
      <c r="F141" s="2">
        <v>46161</v>
      </c>
      <c r="G141" s="2">
        <v>46160</v>
      </c>
      <c r="H141" s="1" t="s">
        <v>28</v>
      </c>
      <c r="I141" s="1" t="s">
        <v>41</v>
      </c>
      <c r="J141" s="1" t="s">
        <v>30</v>
      </c>
      <c r="K141">
        <v>2</v>
      </c>
      <c r="L141">
        <v>1</v>
      </c>
      <c r="M141" s="1" t="s">
        <v>31</v>
      </c>
      <c r="N141">
        <v>11742.23</v>
      </c>
      <c r="O141" s="1" t="s">
        <v>95</v>
      </c>
    </row>
    <row r="142" spans="1:15">
      <c r="A142" s="1" t="s">
        <v>218</v>
      </c>
      <c r="B142" s="1" t="s">
        <v>171</v>
      </c>
      <c r="C142" s="1" t="s">
        <v>77</v>
      </c>
      <c r="D142" s="1" t="s">
        <v>78</v>
      </c>
      <c r="E142" s="2">
        <v>45984</v>
      </c>
      <c r="F142" s="2">
        <v>45999</v>
      </c>
      <c r="G142" s="2"/>
      <c r="H142" s="1" t="s">
        <v>44</v>
      </c>
      <c r="I142" s="1" t="s">
        <v>29</v>
      </c>
      <c r="J142" s="1" t="s">
        <v>50</v>
      </c>
      <c r="K142">
        <v>15</v>
      </c>
      <c r="M142" s="1" t="s">
        <v>51</v>
      </c>
      <c r="N142">
        <v>6979.69</v>
      </c>
      <c r="O142" s="1" t="s">
        <v>23</v>
      </c>
    </row>
    <row r="143" spans="1:15">
      <c r="A143" s="1" t="s">
        <v>219</v>
      </c>
      <c r="B143" s="1" t="s">
        <v>71</v>
      </c>
      <c r="C143" s="1" t="s">
        <v>72</v>
      </c>
      <c r="D143" s="1" t="s">
        <v>73</v>
      </c>
      <c r="E143" s="2">
        <v>45780</v>
      </c>
      <c r="F143" s="2">
        <v>45795</v>
      </c>
      <c r="G143" s="2"/>
      <c r="H143" s="1" t="s">
        <v>44</v>
      </c>
      <c r="I143" s="1" t="s">
        <v>29</v>
      </c>
      <c r="J143" s="1" t="s">
        <v>50</v>
      </c>
      <c r="K143">
        <v>15</v>
      </c>
      <c r="M143" s="1" t="s">
        <v>51</v>
      </c>
      <c r="N143">
        <v>13642.62</v>
      </c>
      <c r="O143" s="1" t="s">
        <v>39</v>
      </c>
    </row>
    <row r="144" spans="1:15">
      <c r="A144" s="1" t="s">
        <v>220</v>
      </c>
      <c r="B144" s="1" t="s">
        <v>97</v>
      </c>
      <c r="C144" s="1" t="s">
        <v>58</v>
      </c>
      <c r="D144" s="1" t="s">
        <v>59</v>
      </c>
      <c r="E144" s="2">
        <v>46107</v>
      </c>
      <c r="F144" s="2">
        <v>46109</v>
      </c>
      <c r="G144" s="2">
        <v>46110</v>
      </c>
      <c r="H144" s="1" t="s">
        <v>49</v>
      </c>
      <c r="I144" s="1" t="s">
        <v>41</v>
      </c>
      <c r="J144" s="1" t="s">
        <v>30</v>
      </c>
      <c r="K144">
        <v>2</v>
      </c>
      <c r="L144">
        <v>3</v>
      </c>
      <c r="M144" s="1" t="s">
        <v>22</v>
      </c>
      <c r="N144">
        <v>1593.62</v>
      </c>
      <c r="O144" s="1" t="s">
        <v>39</v>
      </c>
    </row>
    <row r="145" spans="1:15">
      <c r="A145" s="1" t="s">
        <v>221</v>
      </c>
      <c r="B145" s="1" t="s">
        <v>112</v>
      </c>
      <c r="C145" s="1" t="s">
        <v>17</v>
      </c>
      <c r="D145" s="1" t="s">
        <v>18</v>
      </c>
      <c r="E145" s="2">
        <v>45670</v>
      </c>
      <c r="F145" s="2">
        <v>45675</v>
      </c>
      <c r="G145" s="2">
        <v>45675</v>
      </c>
      <c r="H145" s="1" t="s">
        <v>60</v>
      </c>
      <c r="I145" s="1" t="s">
        <v>38</v>
      </c>
      <c r="J145" s="1" t="s">
        <v>30</v>
      </c>
      <c r="K145">
        <v>5</v>
      </c>
      <c r="L145">
        <v>5</v>
      </c>
      <c r="M145" s="1" t="s">
        <v>31</v>
      </c>
      <c r="N145">
        <v>11602.7</v>
      </c>
      <c r="O145" s="1" t="s">
        <v>95</v>
      </c>
    </row>
    <row r="146" spans="1:15">
      <c r="A146" s="1" t="s">
        <v>222</v>
      </c>
      <c r="B146" s="1" t="s">
        <v>64</v>
      </c>
      <c r="C146" s="1" t="s">
        <v>65</v>
      </c>
      <c r="D146" s="1" t="s">
        <v>66</v>
      </c>
      <c r="E146" s="2">
        <v>45871</v>
      </c>
      <c r="F146" s="2">
        <v>45873</v>
      </c>
      <c r="G146" s="2"/>
      <c r="H146" s="1" t="s">
        <v>19</v>
      </c>
      <c r="I146" s="1" t="s">
        <v>41</v>
      </c>
      <c r="J146" s="1" t="s">
        <v>21</v>
      </c>
      <c r="K146">
        <v>2</v>
      </c>
      <c r="L146">
        <v>22</v>
      </c>
      <c r="M146" s="1" t="s">
        <v>22</v>
      </c>
      <c r="N146">
        <v>5013.84</v>
      </c>
      <c r="O146" s="1" t="s">
        <v>32</v>
      </c>
    </row>
    <row r="147" spans="1:15">
      <c r="A147" s="1" t="s">
        <v>223</v>
      </c>
      <c r="B147" s="1" t="s">
        <v>64</v>
      </c>
      <c r="C147" s="1" t="s">
        <v>65</v>
      </c>
      <c r="D147" s="1" t="s">
        <v>66</v>
      </c>
      <c r="E147" s="2">
        <v>46118</v>
      </c>
      <c r="F147" s="2">
        <v>46128</v>
      </c>
      <c r="G147" s="2">
        <v>46121</v>
      </c>
      <c r="H147" s="1" t="s">
        <v>60</v>
      </c>
      <c r="I147" s="1" t="s">
        <v>20</v>
      </c>
      <c r="J147" s="1" t="s">
        <v>30</v>
      </c>
      <c r="K147">
        <v>10</v>
      </c>
      <c r="L147">
        <v>3</v>
      </c>
      <c r="M147" s="1" t="s">
        <v>31</v>
      </c>
      <c r="N147">
        <v>22339.46</v>
      </c>
      <c r="O147" s="1" t="s">
        <v>32</v>
      </c>
    </row>
    <row r="148" spans="1:15">
      <c r="A148" s="1" t="s">
        <v>224</v>
      </c>
      <c r="B148" s="1" t="s">
        <v>117</v>
      </c>
      <c r="C148" s="1" t="s">
        <v>93</v>
      </c>
      <c r="D148" s="1" t="s">
        <v>94</v>
      </c>
      <c r="E148" s="2">
        <v>45734</v>
      </c>
      <c r="F148" s="2">
        <v>45736</v>
      </c>
      <c r="G148" s="2">
        <v>45751</v>
      </c>
      <c r="H148" s="1" t="s">
        <v>60</v>
      </c>
      <c r="I148" s="1" t="s">
        <v>41</v>
      </c>
      <c r="J148" s="1" t="s">
        <v>30</v>
      </c>
      <c r="K148">
        <v>2</v>
      </c>
      <c r="L148">
        <v>17</v>
      </c>
      <c r="M148" s="1" t="s">
        <v>22</v>
      </c>
      <c r="N148">
        <v>17006.36</v>
      </c>
      <c r="O148" s="1" t="s">
        <v>95</v>
      </c>
    </row>
    <row r="149" spans="1:15">
      <c r="A149" s="1" t="s">
        <v>225</v>
      </c>
      <c r="B149" s="1" t="s">
        <v>115</v>
      </c>
      <c r="C149" s="1" t="s">
        <v>26</v>
      </c>
      <c r="D149" s="1" t="s">
        <v>27</v>
      </c>
      <c r="E149" s="2">
        <v>45914</v>
      </c>
      <c r="F149" s="2">
        <v>45916</v>
      </c>
      <c r="G149" s="2"/>
      <c r="H149" s="1" t="s">
        <v>37</v>
      </c>
      <c r="I149" s="1" t="s">
        <v>41</v>
      </c>
      <c r="J149" s="1" t="s">
        <v>50</v>
      </c>
      <c r="K149">
        <v>2</v>
      </c>
      <c r="M149" s="1" t="s">
        <v>51</v>
      </c>
      <c r="N149">
        <v>2508.23</v>
      </c>
      <c r="O149" s="1" t="s">
        <v>95</v>
      </c>
    </row>
    <row r="150" spans="1:15">
      <c r="A150" s="1" t="s">
        <v>226</v>
      </c>
      <c r="B150" s="1" t="s">
        <v>76</v>
      </c>
      <c r="C150" s="1" t="s">
        <v>77</v>
      </c>
      <c r="D150" s="1" t="s">
        <v>78</v>
      </c>
      <c r="E150" s="2">
        <v>46000</v>
      </c>
      <c r="F150" s="2">
        <v>46002</v>
      </c>
      <c r="G150" s="2">
        <v>46014</v>
      </c>
      <c r="H150" s="1" t="s">
        <v>19</v>
      </c>
      <c r="I150" s="1" t="s">
        <v>41</v>
      </c>
      <c r="J150" s="1" t="s">
        <v>30</v>
      </c>
      <c r="K150">
        <v>2</v>
      </c>
      <c r="L150">
        <v>14</v>
      </c>
      <c r="M150" s="1" t="s">
        <v>22</v>
      </c>
      <c r="N150">
        <v>8503.49</v>
      </c>
      <c r="O150" s="1" t="s">
        <v>79</v>
      </c>
    </row>
    <row r="151" spans="1:15">
      <c r="A151" s="1" t="s">
        <v>227</v>
      </c>
      <c r="B151" s="1" t="s">
        <v>115</v>
      </c>
      <c r="C151" s="1" t="s">
        <v>26</v>
      </c>
      <c r="D151" s="1" t="s">
        <v>27</v>
      </c>
      <c r="E151" s="2">
        <v>45668</v>
      </c>
      <c r="F151" s="2">
        <v>45670</v>
      </c>
      <c r="G151" s="2"/>
      <c r="H151" s="1" t="s">
        <v>44</v>
      </c>
      <c r="I151" s="1" t="s">
        <v>41</v>
      </c>
      <c r="J151" s="1" t="s">
        <v>21</v>
      </c>
      <c r="K151">
        <v>2</v>
      </c>
      <c r="L151">
        <v>18</v>
      </c>
      <c r="M151" s="1" t="s">
        <v>22</v>
      </c>
      <c r="N151">
        <v>21932.400000000001</v>
      </c>
      <c r="O151" s="1" t="s">
        <v>95</v>
      </c>
    </row>
    <row r="152" spans="1:15">
      <c r="A152" s="1" t="s">
        <v>228</v>
      </c>
      <c r="B152" s="1" t="s">
        <v>76</v>
      </c>
      <c r="C152" s="1" t="s">
        <v>77</v>
      </c>
      <c r="D152" s="1" t="s">
        <v>78</v>
      </c>
      <c r="E152" s="2">
        <v>45740</v>
      </c>
      <c r="F152" s="2">
        <v>45745</v>
      </c>
      <c r="G152" s="2">
        <v>45749</v>
      </c>
      <c r="H152" s="1" t="s">
        <v>28</v>
      </c>
      <c r="I152" s="1" t="s">
        <v>38</v>
      </c>
      <c r="J152" s="1" t="s">
        <v>30</v>
      </c>
      <c r="K152">
        <v>5</v>
      </c>
      <c r="L152">
        <v>9</v>
      </c>
      <c r="M152" s="1" t="s">
        <v>22</v>
      </c>
      <c r="N152">
        <v>14715.52</v>
      </c>
      <c r="O152" s="1" t="s">
        <v>79</v>
      </c>
    </row>
    <row r="153" spans="1:15">
      <c r="A153" s="1" t="s">
        <v>229</v>
      </c>
      <c r="B153" s="1" t="s">
        <v>97</v>
      </c>
      <c r="C153" s="1" t="s">
        <v>58</v>
      </c>
      <c r="D153" s="1" t="s">
        <v>59</v>
      </c>
      <c r="E153" s="2">
        <v>45796</v>
      </c>
      <c r="F153" s="2">
        <v>45811</v>
      </c>
      <c r="G153" s="2"/>
      <c r="H153" s="1" t="s">
        <v>44</v>
      </c>
      <c r="I153" s="1" t="s">
        <v>29</v>
      </c>
      <c r="J153" s="1" t="s">
        <v>21</v>
      </c>
      <c r="K153">
        <v>15</v>
      </c>
      <c r="L153">
        <v>35</v>
      </c>
      <c r="M153" s="1" t="s">
        <v>22</v>
      </c>
      <c r="N153">
        <v>16830.509999999998</v>
      </c>
      <c r="O153" s="1" t="s">
        <v>39</v>
      </c>
    </row>
    <row r="154" spans="1:15">
      <c r="A154" s="1" t="s">
        <v>230</v>
      </c>
      <c r="B154" s="1" t="s">
        <v>34</v>
      </c>
      <c r="C154" s="1" t="s">
        <v>35</v>
      </c>
      <c r="D154" s="1" t="s">
        <v>36</v>
      </c>
      <c r="E154" s="2">
        <v>46080</v>
      </c>
      <c r="F154" s="2">
        <v>46085</v>
      </c>
      <c r="G154" s="2"/>
      <c r="H154" s="1" t="s">
        <v>37</v>
      </c>
      <c r="I154" s="1" t="s">
        <v>38</v>
      </c>
      <c r="J154" s="1" t="s">
        <v>21</v>
      </c>
      <c r="K154">
        <v>5</v>
      </c>
      <c r="L154">
        <v>12</v>
      </c>
      <c r="M154" s="1" t="s">
        <v>22</v>
      </c>
      <c r="N154">
        <v>16850.61</v>
      </c>
      <c r="O154" s="1" t="s">
        <v>39</v>
      </c>
    </row>
    <row r="155" spans="1:15">
      <c r="A155" s="1" t="s">
        <v>231</v>
      </c>
      <c r="B155" s="1" t="s">
        <v>83</v>
      </c>
      <c r="C155" s="1" t="s">
        <v>17</v>
      </c>
      <c r="D155" s="1" t="s">
        <v>18</v>
      </c>
      <c r="E155" s="2">
        <v>46122</v>
      </c>
      <c r="F155" s="2">
        <v>46124</v>
      </c>
      <c r="G155" s="2"/>
      <c r="H155" s="1" t="s">
        <v>37</v>
      </c>
      <c r="I155" s="1" t="s">
        <v>41</v>
      </c>
      <c r="J155" s="1" t="s">
        <v>21</v>
      </c>
      <c r="K155">
        <v>2</v>
      </c>
      <c r="L155">
        <v>20</v>
      </c>
      <c r="M155" s="1" t="s">
        <v>22</v>
      </c>
      <c r="N155">
        <v>21396.61</v>
      </c>
      <c r="O155" s="1" t="s">
        <v>23</v>
      </c>
    </row>
    <row r="156" spans="1:15">
      <c r="A156" s="1" t="s">
        <v>232</v>
      </c>
      <c r="B156" s="1" t="s">
        <v>71</v>
      </c>
      <c r="C156" s="1" t="s">
        <v>72</v>
      </c>
      <c r="D156" s="1" t="s">
        <v>73</v>
      </c>
      <c r="E156" s="2">
        <v>46110</v>
      </c>
      <c r="F156" s="2">
        <v>46125</v>
      </c>
      <c r="G156" s="2"/>
      <c r="H156" s="1" t="s">
        <v>19</v>
      </c>
      <c r="I156" s="1" t="s">
        <v>29</v>
      </c>
      <c r="J156" s="1" t="s">
        <v>53</v>
      </c>
      <c r="K156">
        <v>15</v>
      </c>
      <c r="M156" s="1" t="s">
        <v>54</v>
      </c>
      <c r="N156">
        <v>12916.46</v>
      </c>
      <c r="O156" s="1" t="s">
        <v>39</v>
      </c>
    </row>
    <row r="157" spans="1:15">
      <c r="A157" s="1" t="s">
        <v>233</v>
      </c>
      <c r="B157" s="1" t="s">
        <v>57</v>
      </c>
      <c r="C157" s="1" t="s">
        <v>58</v>
      </c>
      <c r="D157" s="1" t="s">
        <v>59</v>
      </c>
      <c r="E157" s="2">
        <v>46122</v>
      </c>
      <c r="F157" s="2">
        <v>46124</v>
      </c>
      <c r="G157" s="2">
        <v>46140</v>
      </c>
      <c r="H157" s="1" t="s">
        <v>60</v>
      </c>
      <c r="I157" s="1" t="s">
        <v>41</v>
      </c>
      <c r="J157" s="1" t="s">
        <v>30</v>
      </c>
      <c r="K157">
        <v>2</v>
      </c>
      <c r="L157">
        <v>18</v>
      </c>
      <c r="M157" s="1" t="s">
        <v>22</v>
      </c>
      <c r="N157">
        <v>6425.76</v>
      </c>
      <c r="O157" s="1" t="s">
        <v>39</v>
      </c>
    </row>
    <row r="158" spans="1:15">
      <c r="A158" s="1" t="s">
        <v>234</v>
      </c>
      <c r="B158" s="1" t="s">
        <v>71</v>
      </c>
      <c r="C158" s="1" t="s">
        <v>72</v>
      </c>
      <c r="D158" s="1" t="s">
        <v>73</v>
      </c>
      <c r="E158" s="2">
        <v>45853</v>
      </c>
      <c r="F158" s="2">
        <v>45863</v>
      </c>
      <c r="G158" s="2"/>
      <c r="H158" s="1" t="s">
        <v>44</v>
      </c>
      <c r="I158" s="1" t="s">
        <v>20</v>
      </c>
      <c r="J158" s="1" t="s">
        <v>50</v>
      </c>
      <c r="K158">
        <v>10</v>
      </c>
      <c r="M158" s="1" t="s">
        <v>51</v>
      </c>
      <c r="N158">
        <v>9949.83</v>
      </c>
      <c r="O158" s="1" t="s">
        <v>39</v>
      </c>
    </row>
    <row r="159" spans="1:15">
      <c r="A159" s="1" t="s">
        <v>235</v>
      </c>
      <c r="B159" s="1" t="s">
        <v>25</v>
      </c>
      <c r="C159" s="1" t="s">
        <v>26</v>
      </c>
      <c r="D159" s="1" t="s">
        <v>27</v>
      </c>
      <c r="E159" s="2">
        <v>46003</v>
      </c>
      <c r="F159" s="2">
        <v>46018</v>
      </c>
      <c r="G159" s="2"/>
      <c r="H159" s="1" t="s">
        <v>19</v>
      </c>
      <c r="I159" s="1" t="s">
        <v>29</v>
      </c>
      <c r="J159" s="1" t="s">
        <v>50</v>
      </c>
      <c r="K159">
        <v>15</v>
      </c>
      <c r="M159" s="1" t="s">
        <v>51</v>
      </c>
      <c r="N159">
        <v>23056.65</v>
      </c>
      <c r="O159" s="1" t="s">
        <v>32</v>
      </c>
    </row>
    <row r="160" spans="1:15">
      <c r="A160" s="1" t="s">
        <v>236</v>
      </c>
      <c r="B160" s="1" t="s">
        <v>117</v>
      </c>
      <c r="C160" s="1" t="s">
        <v>93</v>
      </c>
      <c r="D160" s="1" t="s">
        <v>94</v>
      </c>
      <c r="E160" s="2">
        <v>45885</v>
      </c>
      <c r="F160" s="2">
        <v>45895</v>
      </c>
      <c r="G160" s="2">
        <v>45887</v>
      </c>
      <c r="H160" s="1" t="s">
        <v>44</v>
      </c>
      <c r="I160" s="1" t="s">
        <v>20</v>
      </c>
      <c r="J160" s="1" t="s">
        <v>30</v>
      </c>
      <c r="K160">
        <v>10</v>
      </c>
      <c r="L160">
        <v>2</v>
      </c>
      <c r="M160" s="1" t="s">
        <v>31</v>
      </c>
      <c r="N160">
        <v>6805.62</v>
      </c>
      <c r="O160" s="1" t="s">
        <v>95</v>
      </c>
    </row>
    <row r="161" spans="1:15">
      <c r="A161" s="1" t="s">
        <v>237</v>
      </c>
      <c r="B161" s="1" t="s">
        <v>57</v>
      </c>
      <c r="C161" s="1" t="s">
        <v>58</v>
      </c>
      <c r="D161" s="1" t="s">
        <v>59</v>
      </c>
      <c r="E161" s="2">
        <v>46152</v>
      </c>
      <c r="F161" s="2">
        <v>46157</v>
      </c>
      <c r="G161" s="2">
        <v>46170</v>
      </c>
      <c r="H161" s="1" t="s">
        <v>49</v>
      </c>
      <c r="I161" s="1" t="s">
        <v>38</v>
      </c>
      <c r="J161" s="1" t="s">
        <v>30</v>
      </c>
      <c r="K161">
        <v>5</v>
      </c>
      <c r="L161">
        <v>18</v>
      </c>
      <c r="M161" s="1" t="s">
        <v>22</v>
      </c>
      <c r="N161">
        <v>14846.18</v>
      </c>
      <c r="O161" s="1" t="s">
        <v>39</v>
      </c>
    </row>
    <row r="162" spans="1:15">
      <c r="A162" s="1" t="s">
        <v>238</v>
      </c>
      <c r="B162" s="1" t="s">
        <v>64</v>
      </c>
      <c r="C162" s="1" t="s">
        <v>65</v>
      </c>
      <c r="D162" s="1" t="s">
        <v>66</v>
      </c>
      <c r="E162" s="2">
        <v>45812</v>
      </c>
      <c r="F162" s="2">
        <v>45814</v>
      </c>
      <c r="G162" s="2"/>
      <c r="H162" s="1" t="s">
        <v>19</v>
      </c>
      <c r="I162" s="1" t="s">
        <v>41</v>
      </c>
      <c r="J162" s="1" t="s">
        <v>53</v>
      </c>
      <c r="K162">
        <v>2</v>
      </c>
      <c r="M162" s="1" t="s">
        <v>54</v>
      </c>
      <c r="N162">
        <v>6743.04</v>
      </c>
      <c r="O162" s="1" t="s">
        <v>32</v>
      </c>
    </row>
    <row r="163" spans="1:15">
      <c r="A163" s="1" t="s">
        <v>239</v>
      </c>
      <c r="B163" s="1" t="s">
        <v>34</v>
      </c>
      <c r="C163" s="1" t="s">
        <v>35</v>
      </c>
      <c r="D163" s="1" t="s">
        <v>36</v>
      </c>
      <c r="E163" s="2">
        <v>45890</v>
      </c>
      <c r="F163" s="2">
        <v>45900</v>
      </c>
      <c r="G163" s="2"/>
      <c r="H163" s="1" t="s">
        <v>19</v>
      </c>
      <c r="I163" s="1" t="s">
        <v>20</v>
      </c>
      <c r="J163" s="1" t="s">
        <v>53</v>
      </c>
      <c r="K163">
        <v>10</v>
      </c>
      <c r="M163" s="1" t="s">
        <v>54</v>
      </c>
      <c r="N163">
        <v>7592.05</v>
      </c>
      <c r="O163" s="1" t="s">
        <v>39</v>
      </c>
    </row>
    <row r="164" spans="1:15">
      <c r="A164" s="1" t="s">
        <v>240</v>
      </c>
      <c r="B164" s="1" t="s">
        <v>16</v>
      </c>
      <c r="C164" s="1" t="s">
        <v>17</v>
      </c>
      <c r="D164" s="1" t="s">
        <v>18</v>
      </c>
      <c r="E164" s="2">
        <v>46154</v>
      </c>
      <c r="F164" s="2">
        <v>46159</v>
      </c>
      <c r="G164" s="2">
        <v>46172</v>
      </c>
      <c r="H164" s="1" t="s">
        <v>28</v>
      </c>
      <c r="I164" s="1" t="s">
        <v>38</v>
      </c>
      <c r="J164" s="1" t="s">
        <v>30</v>
      </c>
      <c r="K164">
        <v>5</v>
      </c>
      <c r="L164">
        <v>18</v>
      </c>
      <c r="M164" s="1" t="s">
        <v>22</v>
      </c>
      <c r="N164">
        <v>8905.34</v>
      </c>
      <c r="O164" s="1" t="s">
        <v>23</v>
      </c>
    </row>
    <row r="165" spans="1:15">
      <c r="A165" s="1" t="s">
        <v>241</v>
      </c>
      <c r="B165" s="1" t="s">
        <v>71</v>
      </c>
      <c r="C165" s="1" t="s">
        <v>72</v>
      </c>
      <c r="D165" s="1" t="s">
        <v>73</v>
      </c>
      <c r="E165" s="2">
        <v>46198</v>
      </c>
      <c r="F165" s="2">
        <v>46200</v>
      </c>
      <c r="G165" s="2"/>
      <c r="H165" s="1" t="s">
        <v>28</v>
      </c>
      <c r="I165" s="1" t="s">
        <v>41</v>
      </c>
      <c r="J165" s="1" t="s">
        <v>50</v>
      </c>
      <c r="K165">
        <v>2</v>
      </c>
      <c r="M165" s="1" t="s">
        <v>51</v>
      </c>
      <c r="N165">
        <v>16792.28</v>
      </c>
      <c r="O165" s="1" t="s">
        <v>39</v>
      </c>
    </row>
    <row r="166" spans="1:15">
      <c r="A166" s="1" t="s">
        <v>242</v>
      </c>
      <c r="B166" s="1" t="s">
        <v>83</v>
      </c>
      <c r="C166" s="1" t="s">
        <v>17</v>
      </c>
      <c r="D166" s="1" t="s">
        <v>18</v>
      </c>
      <c r="E166" s="2">
        <v>45771</v>
      </c>
      <c r="F166" s="2">
        <v>45786</v>
      </c>
      <c r="G166" s="2"/>
      <c r="H166" s="1" t="s">
        <v>60</v>
      </c>
      <c r="I166" s="1" t="s">
        <v>29</v>
      </c>
      <c r="J166" s="1" t="s">
        <v>50</v>
      </c>
      <c r="K166">
        <v>15</v>
      </c>
      <c r="M166" s="1" t="s">
        <v>51</v>
      </c>
      <c r="N166">
        <v>2922.31</v>
      </c>
      <c r="O166" s="1" t="s">
        <v>23</v>
      </c>
    </row>
    <row r="167" spans="1:15">
      <c r="A167" s="1" t="s">
        <v>243</v>
      </c>
      <c r="B167" s="1" t="s">
        <v>34</v>
      </c>
      <c r="C167" s="1" t="s">
        <v>35</v>
      </c>
      <c r="D167" s="1" t="s">
        <v>36</v>
      </c>
      <c r="E167" s="2">
        <v>45876</v>
      </c>
      <c r="F167" s="2">
        <v>45891</v>
      </c>
      <c r="G167" s="2">
        <v>45882</v>
      </c>
      <c r="H167" s="1" t="s">
        <v>60</v>
      </c>
      <c r="I167" s="1" t="s">
        <v>29</v>
      </c>
      <c r="J167" s="1" t="s">
        <v>30</v>
      </c>
      <c r="K167">
        <v>15</v>
      </c>
      <c r="L167">
        <v>6</v>
      </c>
      <c r="M167" s="1" t="s">
        <v>31</v>
      </c>
      <c r="N167">
        <v>12476.33</v>
      </c>
      <c r="O167" s="1" t="s">
        <v>39</v>
      </c>
    </row>
    <row r="168" spans="1:15">
      <c r="A168" s="1" t="s">
        <v>244</v>
      </c>
      <c r="B168" s="1" t="s">
        <v>86</v>
      </c>
      <c r="C168" s="1" t="s">
        <v>47</v>
      </c>
      <c r="D168" s="1" t="s">
        <v>48</v>
      </c>
      <c r="E168" s="2">
        <v>45870</v>
      </c>
      <c r="F168" s="2">
        <v>45885</v>
      </c>
      <c r="G168" s="2"/>
      <c r="H168" s="1" t="s">
        <v>19</v>
      </c>
      <c r="I168" s="1" t="s">
        <v>29</v>
      </c>
      <c r="J168" s="1" t="s">
        <v>21</v>
      </c>
      <c r="K168">
        <v>15</v>
      </c>
      <c r="L168">
        <v>22</v>
      </c>
      <c r="M168" s="1" t="s">
        <v>22</v>
      </c>
      <c r="N168">
        <v>18472.71</v>
      </c>
      <c r="O168" s="1" t="s">
        <v>79</v>
      </c>
    </row>
    <row r="169" spans="1:15">
      <c r="A169" s="1" t="s">
        <v>245</v>
      </c>
      <c r="B169" s="1" t="s">
        <v>105</v>
      </c>
      <c r="C169" s="1" t="s">
        <v>106</v>
      </c>
      <c r="D169" s="1" t="s">
        <v>107</v>
      </c>
      <c r="E169" s="2">
        <v>45904</v>
      </c>
      <c r="F169" s="2">
        <v>45909</v>
      </c>
      <c r="G169" s="2"/>
      <c r="H169" s="1" t="s">
        <v>44</v>
      </c>
      <c r="I169" s="1" t="s">
        <v>38</v>
      </c>
      <c r="J169" s="1" t="s">
        <v>53</v>
      </c>
      <c r="K169">
        <v>5</v>
      </c>
      <c r="M169" s="1" t="s">
        <v>54</v>
      </c>
      <c r="N169">
        <v>1572.02</v>
      </c>
      <c r="O169" s="1" t="s">
        <v>32</v>
      </c>
    </row>
    <row r="170" spans="1:15">
      <c r="A170" s="1" t="s">
        <v>246</v>
      </c>
      <c r="B170" s="1" t="s">
        <v>43</v>
      </c>
      <c r="C170" s="1" t="s">
        <v>35</v>
      </c>
      <c r="D170" s="1" t="s">
        <v>36</v>
      </c>
      <c r="E170" s="2">
        <v>45763</v>
      </c>
      <c r="F170" s="2">
        <v>45765</v>
      </c>
      <c r="G170" s="2"/>
      <c r="H170" s="1" t="s">
        <v>49</v>
      </c>
      <c r="I170" s="1" t="s">
        <v>41</v>
      </c>
      <c r="J170" s="1" t="s">
        <v>21</v>
      </c>
      <c r="K170">
        <v>2</v>
      </c>
      <c r="L170">
        <v>20</v>
      </c>
      <c r="M170" s="1" t="s">
        <v>22</v>
      </c>
      <c r="N170">
        <v>16446.73</v>
      </c>
      <c r="O170" s="1" t="s">
        <v>39</v>
      </c>
    </row>
    <row r="171" spans="1:15">
      <c r="A171" s="1" t="s">
        <v>247</v>
      </c>
      <c r="B171" s="1" t="s">
        <v>64</v>
      </c>
      <c r="C171" s="1" t="s">
        <v>65</v>
      </c>
      <c r="D171" s="1" t="s">
        <v>66</v>
      </c>
      <c r="E171" s="2">
        <v>45813</v>
      </c>
      <c r="F171" s="2">
        <v>45828</v>
      </c>
      <c r="G171" s="2"/>
      <c r="H171" s="1" t="s">
        <v>37</v>
      </c>
      <c r="I171" s="1" t="s">
        <v>29</v>
      </c>
      <c r="J171" s="1" t="s">
        <v>50</v>
      </c>
      <c r="K171">
        <v>15</v>
      </c>
      <c r="M171" s="1" t="s">
        <v>51</v>
      </c>
      <c r="N171">
        <v>11359.39</v>
      </c>
      <c r="O171" s="1" t="s">
        <v>32</v>
      </c>
    </row>
    <row r="172" spans="1:15">
      <c r="A172" s="1" t="s">
        <v>248</v>
      </c>
      <c r="B172" s="1" t="s">
        <v>83</v>
      </c>
      <c r="C172" s="1" t="s">
        <v>17</v>
      </c>
      <c r="D172" s="1" t="s">
        <v>18</v>
      </c>
      <c r="E172" s="2">
        <v>45906</v>
      </c>
      <c r="F172" s="2">
        <v>45908</v>
      </c>
      <c r="G172" s="2">
        <v>45911</v>
      </c>
      <c r="H172" s="1" t="s">
        <v>49</v>
      </c>
      <c r="I172" s="1" t="s">
        <v>41</v>
      </c>
      <c r="J172" s="1" t="s">
        <v>30</v>
      </c>
      <c r="K172">
        <v>2</v>
      </c>
      <c r="L172">
        <v>5</v>
      </c>
      <c r="M172" s="1" t="s">
        <v>22</v>
      </c>
      <c r="N172">
        <v>6716.85</v>
      </c>
      <c r="O172" s="1" t="s">
        <v>23</v>
      </c>
    </row>
    <row r="173" spans="1:15">
      <c r="A173" s="1" t="s">
        <v>249</v>
      </c>
      <c r="B173" s="1" t="s">
        <v>86</v>
      </c>
      <c r="C173" s="1" t="s">
        <v>47</v>
      </c>
      <c r="D173" s="1" t="s">
        <v>48</v>
      </c>
      <c r="E173" s="2">
        <v>45927</v>
      </c>
      <c r="F173" s="2">
        <v>45932</v>
      </c>
      <c r="G173" s="2"/>
      <c r="H173" s="1" t="s">
        <v>44</v>
      </c>
      <c r="I173" s="1" t="s">
        <v>38</v>
      </c>
      <c r="J173" s="1" t="s">
        <v>21</v>
      </c>
      <c r="K173">
        <v>5</v>
      </c>
      <c r="L173">
        <v>21</v>
      </c>
      <c r="M173" s="1" t="s">
        <v>22</v>
      </c>
      <c r="N173">
        <v>16808.16</v>
      </c>
      <c r="O173" s="1" t="s">
        <v>79</v>
      </c>
    </row>
    <row r="174" spans="1:15">
      <c r="A174" s="1" t="s">
        <v>250</v>
      </c>
      <c r="B174" s="1" t="s">
        <v>115</v>
      </c>
      <c r="C174" s="1" t="s">
        <v>26</v>
      </c>
      <c r="D174" s="1" t="s">
        <v>27</v>
      </c>
      <c r="E174" s="2">
        <v>45726</v>
      </c>
      <c r="F174" s="2">
        <v>45731</v>
      </c>
      <c r="G174" s="2">
        <v>45733</v>
      </c>
      <c r="H174" s="1" t="s">
        <v>28</v>
      </c>
      <c r="I174" s="1" t="s">
        <v>38</v>
      </c>
      <c r="J174" s="1" t="s">
        <v>30</v>
      </c>
      <c r="K174">
        <v>5</v>
      </c>
      <c r="L174">
        <v>7</v>
      </c>
      <c r="M174" s="1" t="s">
        <v>22</v>
      </c>
      <c r="N174">
        <v>12529.27</v>
      </c>
      <c r="O174" s="1" t="s">
        <v>95</v>
      </c>
    </row>
    <row r="175" spans="1:15">
      <c r="A175" s="1" t="s">
        <v>251</v>
      </c>
      <c r="B175" s="1" t="s">
        <v>71</v>
      </c>
      <c r="C175" s="1" t="s">
        <v>72</v>
      </c>
      <c r="D175" s="1" t="s">
        <v>73</v>
      </c>
      <c r="E175" s="2">
        <v>46003</v>
      </c>
      <c r="F175" s="2">
        <v>46013</v>
      </c>
      <c r="G175" s="2">
        <v>46009</v>
      </c>
      <c r="H175" s="1" t="s">
        <v>19</v>
      </c>
      <c r="I175" s="1" t="s">
        <v>20</v>
      </c>
      <c r="J175" s="1" t="s">
        <v>30</v>
      </c>
      <c r="K175">
        <v>10</v>
      </c>
      <c r="L175">
        <v>6</v>
      </c>
      <c r="M175" s="1" t="s">
        <v>31</v>
      </c>
      <c r="N175">
        <v>4698.96</v>
      </c>
      <c r="O175" s="1" t="s">
        <v>39</v>
      </c>
    </row>
    <row r="176" spans="1:15">
      <c r="A176" s="1" t="s">
        <v>252</v>
      </c>
      <c r="B176" s="1" t="s">
        <v>64</v>
      </c>
      <c r="C176" s="1" t="s">
        <v>65</v>
      </c>
      <c r="D176" s="1" t="s">
        <v>66</v>
      </c>
      <c r="E176" s="2">
        <v>46121</v>
      </c>
      <c r="F176" s="2">
        <v>46123</v>
      </c>
      <c r="G176" s="2"/>
      <c r="H176" s="1" t="s">
        <v>49</v>
      </c>
      <c r="I176" s="1" t="s">
        <v>41</v>
      </c>
      <c r="J176" s="1" t="s">
        <v>50</v>
      </c>
      <c r="K176">
        <v>2</v>
      </c>
      <c r="M176" s="1" t="s">
        <v>51</v>
      </c>
      <c r="N176">
        <v>6787.27</v>
      </c>
      <c r="O176" s="1" t="s">
        <v>32</v>
      </c>
    </row>
    <row r="177" spans="1:15">
      <c r="A177" s="1" t="s">
        <v>253</v>
      </c>
      <c r="B177" s="1" t="s">
        <v>71</v>
      </c>
      <c r="C177" s="1" t="s">
        <v>72</v>
      </c>
      <c r="D177" s="1" t="s">
        <v>73</v>
      </c>
      <c r="E177" s="2">
        <v>46114</v>
      </c>
      <c r="F177" s="2">
        <v>46119</v>
      </c>
      <c r="G177" s="2">
        <v>46118</v>
      </c>
      <c r="H177" s="1" t="s">
        <v>28</v>
      </c>
      <c r="I177" s="1" t="s">
        <v>38</v>
      </c>
      <c r="J177" s="1" t="s">
        <v>30</v>
      </c>
      <c r="K177">
        <v>5</v>
      </c>
      <c r="L177">
        <v>4</v>
      </c>
      <c r="M177" s="1" t="s">
        <v>31</v>
      </c>
      <c r="N177">
        <v>24042.39</v>
      </c>
      <c r="O177" s="1" t="s">
        <v>39</v>
      </c>
    </row>
    <row r="178" spans="1:15">
      <c r="A178" s="1" t="s">
        <v>254</v>
      </c>
      <c r="B178" s="1" t="s">
        <v>71</v>
      </c>
      <c r="C178" s="1" t="s">
        <v>72</v>
      </c>
      <c r="D178" s="1" t="s">
        <v>73</v>
      </c>
      <c r="E178" s="2">
        <v>45851</v>
      </c>
      <c r="F178" s="2">
        <v>45861</v>
      </c>
      <c r="G178" s="2">
        <v>45852</v>
      </c>
      <c r="H178" s="1" t="s">
        <v>19</v>
      </c>
      <c r="I178" s="1" t="s">
        <v>20</v>
      </c>
      <c r="J178" s="1" t="s">
        <v>30</v>
      </c>
      <c r="K178">
        <v>10</v>
      </c>
      <c r="L178">
        <v>1</v>
      </c>
      <c r="M178" s="1" t="s">
        <v>31</v>
      </c>
      <c r="N178">
        <v>18363.93</v>
      </c>
      <c r="O178" s="1" t="s">
        <v>39</v>
      </c>
    </row>
    <row r="179" spans="1:15">
      <c r="A179" s="1" t="s">
        <v>255</v>
      </c>
      <c r="B179" s="1" t="s">
        <v>57</v>
      </c>
      <c r="C179" s="1" t="s">
        <v>58</v>
      </c>
      <c r="D179" s="1" t="s">
        <v>59</v>
      </c>
      <c r="E179" s="2">
        <v>45681</v>
      </c>
      <c r="F179" s="2">
        <v>45696</v>
      </c>
      <c r="G179" s="2"/>
      <c r="H179" s="1" t="s">
        <v>49</v>
      </c>
      <c r="I179" s="1" t="s">
        <v>29</v>
      </c>
      <c r="J179" s="1" t="s">
        <v>53</v>
      </c>
      <c r="K179">
        <v>15</v>
      </c>
      <c r="M179" s="1" t="s">
        <v>54</v>
      </c>
      <c r="N179">
        <v>18640.919999999998</v>
      </c>
      <c r="O179" s="1" t="s">
        <v>39</v>
      </c>
    </row>
    <row r="180" spans="1:15">
      <c r="A180" s="1" t="s">
        <v>256</v>
      </c>
      <c r="B180" s="1" t="s">
        <v>57</v>
      </c>
      <c r="C180" s="1" t="s">
        <v>58</v>
      </c>
      <c r="D180" s="1" t="s">
        <v>59</v>
      </c>
      <c r="E180" s="2">
        <v>45838</v>
      </c>
      <c r="F180" s="2">
        <v>45853</v>
      </c>
      <c r="G180" s="2">
        <v>45847</v>
      </c>
      <c r="H180" s="1" t="s">
        <v>19</v>
      </c>
      <c r="I180" s="1" t="s">
        <v>29</v>
      </c>
      <c r="J180" s="1" t="s">
        <v>30</v>
      </c>
      <c r="K180">
        <v>15</v>
      </c>
      <c r="L180">
        <v>9</v>
      </c>
      <c r="M180" s="1" t="s">
        <v>31</v>
      </c>
      <c r="N180">
        <v>15224.56</v>
      </c>
      <c r="O180" s="1" t="s">
        <v>39</v>
      </c>
    </row>
    <row r="181" spans="1:15">
      <c r="A181" s="1" t="s">
        <v>257</v>
      </c>
      <c r="B181" s="1" t="s">
        <v>68</v>
      </c>
      <c r="C181" s="1" t="s">
        <v>58</v>
      </c>
      <c r="D181" s="1" t="s">
        <v>59</v>
      </c>
      <c r="E181" s="2">
        <v>45856</v>
      </c>
      <c r="F181" s="2">
        <v>45871</v>
      </c>
      <c r="G181" s="2">
        <v>45874</v>
      </c>
      <c r="H181" s="1" t="s">
        <v>28</v>
      </c>
      <c r="I181" s="1" t="s">
        <v>29</v>
      </c>
      <c r="J181" s="1" t="s">
        <v>30</v>
      </c>
      <c r="K181">
        <v>15</v>
      </c>
      <c r="L181">
        <v>18</v>
      </c>
      <c r="M181" s="1" t="s">
        <v>22</v>
      </c>
      <c r="N181">
        <v>1075.68</v>
      </c>
      <c r="O181" s="1" t="s">
        <v>32</v>
      </c>
    </row>
    <row r="182" spans="1:15">
      <c r="A182" s="1" t="s">
        <v>258</v>
      </c>
      <c r="B182" s="1" t="s">
        <v>92</v>
      </c>
      <c r="C182" s="1" t="s">
        <v>93</v>
      </c>
      <c r="D182" s="1" t="s">
        <v>94</v>
      </c>
      <c r="E182" s="2">
        <v>45688</v>
      </c>
      <c r="F182" s="2">
        <v>45693</v>
      </c>
      <c r="G182" s="2"/>
      <c r="H182" s="1" t="s">
        <v>37</v>
      </c>
      <c r="I182" s="1" t="s">
        <v>38</v>
      </c>
      <c r="J182" s="1" t="s">
        <v>21</v>
      </c>
      <c r="K182">
        <v>5</v>
      </c>
      <c r="L182">
        <v>13</v>
      </c>
      <c r="M182" s="1" t="s">
        <v>22</v>
      </c>
      <c r="N182">
        <v>21395.59</v>
      </c>
      <c r="O182" s="1" t="s">
        <v>95</v>
      </c>
    </row>
    <row r="183" spans="1:15">
      <c r="A183" s="1" t="s">
        <v>259</v>
      </c>
      <c r="B183" s="1" t="s">
        <v>115</v>
      </c>
      <c r="C183" s="1" t="s">
        <v>26</v>
      </c>
      <c r="D183" s="1" t="s">
        <v>27</v>
      </c>
      <c r="E183" s="2">
        <v>45859</v>
      </c>
      <c r="F183" s="2">
        <v>45869</v>
      </c>
      <c r="G183" s="2">
        <v>45873</v>
      </c>
      <c r="H183" s="1" t="s">
        <v>19</v>
      </c>
      <c r="I183" s="1" t="s">
        <v>20</v>
      </c>
      <c r="J183" s="1" t="s">
        <v>30</v>
      </c>
      <c r="K183">
        <v>10</v>
      </c>
      <c r="L183">
        <v>14</v>
      </c>
      <c r="M183" s="1" t="s">
        <v>22</v>
      </c>
      <c r="N183">
        <v>3902.55</v>
      </c>
      <c r="O183" s="1" t="s">
        <v>95</v>
      </c>
    </row>
    <row r="184" spans="1:15">
      <c r="A184" s="1" t="s">
        <v>260</v>
      </c>
      <c r="B184" s="1" t="s">
        <v>16</v>
      </c>
      <c r="C184" s="1" t="s">
        <v>17</v>
      </c>
      <c r="D184" s="1" t="s">
        <v>18</v>
      </c>
      <c r="E184" s="2">
        <v>45962</v>
      </c>
      <c r="F184" s="2">
        <v>45972</v>
      </c>
      <c r="G184" s="2"/>
      <c r="H184" s="1" t="s">
        <v>37</v>
      </c>
      <c r="I184" s="1" t="s">
        <v>20</v>
      </c>
      <c r="J184" s="1" t="s">
        <v>50</v>
      </c>
      <c r="K184">
        <v>10</v>
      </c>
      <c r="M184" s="1" t="s">
        <v>51</v>
      </c>
      <c r="N184">
        <v>9292.1</v>
      </c>
      <c r="O184" s="1" t="s">
        <v>23</v>
      </c>
    </row>
    <row r="185" spans="1:15">
      <c r="A185" s="1" t="s">
        <v>261</v>
      </c>
      <c r="B185" s="1" t="s">
        <v>115</v>
      </c>
      <c r="C185" s="1" t="s">
        <v>26</v>
      </c>
      <c r="D185" s="1" t="s">
        <v>27</v>
      </c>
      <c r="E185" s="2">
        <v>45791</v>
      </c>
      <c r="F185" s="2">
        <v>45793</v>
      </c>
      <c r="G185" s="2"/>
      <c r="H185" s="1" t="s">
        <v>28</v>
      </c>
      <c r="I185" s="1" t="s">
        <v>41</v>
      </c>
      <c r="J185" s="1" t="s">
        <v>21</v>
      </c>
      <c r="K185">
        <v>2</v>
      </c>
      <c r="L185">
        <v>16</v>
      </c>
      <c r="M185" s="1" t="s">
        <v>22</v>
      </c>
      <c r="N185">
        <v>14764.5</v>
      </c>
      <c r="O185" s="1" t="s">
        <v>95</v>
      </c>
    </row>
    <row r="186" spans="1:15">
      <c r="A186" s="1" t="s">
        <v>262</v>
      </c>
      <c r="B186" s="1" t="s">
        <v>43</v>
      </c>
      <c r="C186" s="1" t="s">
        <v>35</v>
      </c>
      <c r="D186" s="1" t="s">
        <v>36</v>
      </c>
      <c r="E186" s="2">
        <v>46073</v>
      </c>
      <c r="F186" s="2">
        <v>46078</v>
      </c>
      <c r="G186" s="2"/>
      <c r="H186" s="1" t="s">
        <v>44</v>
      </c>
      <c r="I186" s="1" t="s">
        <v>38</v>
      </c>
      <c r="J186" s="1" t="s">
        <v>21</v>
      </c>
      <c r="K186">
        <v>5</v>
      </c>
      <c r="L186">
        <v>19</v>
      </c>
      <c r="M186" s="1" t="s">
        <v>22</v>
      </c>
      <c r="N186">
        <v>21308.2</v>
      </c>
      <c r="O186" s="1" t="s">
        <v>39</v>
      </c>
    </row>
    <row r="187" spans="1:15">
      <c r="A187" s="1" t="s">
        <v>263</v>
      </c>
      <c r="B187" s="1" t="s">
        <v>43</v>
      </c>
      <c r="C187" s="1" t="s">
        <v>35</v>
      </c>
      <c r="D187" s="1" t="s">
        <v>36</v>
      </c>
      <c r="E187" s="2">
        <v>46072</v>
      </c>
      <c r="F187" s="2">
        <v>46082</v>
      </c>
      <c r="G187" s="2">
        <v>46075</v>
      </c>
      <c r="H187" s="1" t="s">
        <v>60</v>
      </c>
      <c r="I187" s="1" t="s">
        <v>20</v>
      </c>
      <c r="J187" s="1" t="s">
        <v>30</v>
      </c>
      <c r="K187">
        <v>10</v>
      </c>
      <c r="L187">
        <v>3</v>
      </c>
      <c r="M187" s="1" t="s">
        <v>31</v>
      </c>
      <c r="N187">
        <v>22219.73</v>
      </c>
      <c r="O187" s="1" t="s">
        <v>39</v>
      </c>
    </row>
    <row r="188" spans="1:15">
      <c r="A188" s="1" t="s">
        <v>264</v>
      </c>
      <c r="B188" s="1" t="s">
        <v>34</v>
      </c>
      <c r="C188" s="1" t="s">
        <v>35</v>
      </c>
      <c r="D188" s="1" t="s">
        <v>36</v>
      </c>
      <c r="E188" s="2">
        <v>45846</v>
      </c>
      <c r="F188" s="2">
        <v>45851</v>
      </c>
      <c r="G188" s="2">
        <v>45852</v>
      </c>
      <c r="H188" s="1" t="s">
        <v>28</v>
      </c>
      <c r="I188" s="1" t="s">
        <v>38</v>
      </c>
      <c r="J188" s="1" t="s">
        <v>30</v>
      </c>
      <c r="K188">
        <v>5</v>
      </c>
      <c r="L188">
        <v>6</v>
      </c>
      <c r="M188" s="1" t="s">
        <v>22</v>
      </c>
      <c r="N188">
        <v>6369.89</v>
      </c>
      <c r="O188" s="1" t="s">
        <v>39</v>
      </c>
    </row>
    <row r="189" spans="1:15">
      <c r="A189" s="1" t="s">
        <v>265</v>
      </c>
      <c r="B189" s="1" t="s">
        <v>34</v>
      </c>
      <c r="C189" s="1" t="s">
        <v>35</v>
      </c>
      <c r="D189" s="1" t="s">
        <v>36</v>
      </c>
      <c r="E189" s="2">
        <v>45785</v>
      </c>
      <c r="F189" s="2">
        <v>45787</v>
      </c>
      <c r="G189" s="2"/>
      <c r="H189" s="1" t="s">
        <v>60</v>
      </c>
      <c r="I189" s="1" t="s">
        <v>41</v>
      </c>
      <c r="J189" s="1" t="s">
        <v>53</v>
      </c>
      <c r="K189">
        <v>2</v>
      </c>
      <c r="M189" s="1" t="s">
        <v>54</v>
      </c>
      <c r="N189">
        <v>20555.79</v>
      </c>
      <c r="O189" s="1" t="s">
        <v>39</v>
      </c>
    </row>
    <row r="190" spans="1:15">
      <c r="A190" s="1" t="s">
        <v>266</v>
      </c>
      <c r="B190" s="1" t="s">
        <v>105</v>
      </c>
      <c r="C190" s="1" t="s">
        <v>106</v>
      </c>
      <c r="D190" s="1" t="s">
        <v>107</v>
      </c>
      <c r="E190" s="2">
        <v>45664</v>
      </c>
      <c r="F190" s="2">
        <v>45679</v>
      </c>
      <c r="G190" s="2"/>
      <c r="H190" s="1" t="s">
        <v>37</v>
      </c>
      <c r="I190" s="1" t="s">
        <v>29</v>
      </c>
      <c r="J190" s="1" t="s">
        <v>21</v>
      </c>
      <c r="K190">
        <v>15</v>
      </c>
      <c r="L190">
        <v>26</v>
      </c>
      <c r="M190" s="1" t="s">
        <v>22</v>
      </c>
      <c r="N190">
        <v>2826.43</v>
      </c>
      <c r="O190" s="1" t="s">
        <v>32</v>
      </c>
    </row>
    <row r="191" spans="1:15">
      <c r="A191" s="1" t="s">
        <v>267</v>
      </c>
      <c r="B191" s="1" t="s">
        <v>92</v>
      </c>
      <c r="C191" s="1" t="s">
        <v>93</v>
      </c>
      <c r="D191" s="1" t="s">
        <v>94</v>
      </c>
      <c r="E191" s="2">
        <v>45810</v>
      </c>
      <c r="F191" s="2">
        <v>45815</v>
      </c>
      <c r="G191" s="2"/>
      <c r="H191" s="1" t="s">
        <v>19</v>
      </c>
      <c r="I191" s="1" t="s">
        <v>38</v>
      </c>
      <c r="J191" s="1" t="s">
        <v>50</v>
      </c>
      <c r="K191">
        <v>5</v>
      </c>
      <c r="M191" s="1" t="s">
        <v>51</v>
      </c>
      <c r="N191">
        <v>3924.43</v>
      </c>
      <c r="O191" s="1" t="s">
        <v>95</v>
      </c>
    </row>
    <row r="192" spans="1:15">
      <c r="A192" s="1" t="s">
        <v>268</v>
      </c>
      <c r="B192" s="1" t="s">
        <v>171</v>
      </c>
      <c r="C192" s="1" t="s">
        <v>77</v>
      </c>
      <c r="D192" s="1" t="s">
        <v>78</v>
      </c>
      <c r="E192" s="2">
        <v>46158</v>
      </c>
      <c r="F192" s="2">
        <v>46160</v>
      </c>
      <c r="G192" s="2"/>
      <c r="H192" s="1" t="s">
        <v>37</v>
      </c>
      <c r="I192" s="1" t="s">
        <v>41</v>
      </c>
      <c r="J192" s="1" t="s">
        <v>50</v>
      </c>
      <c r="K192">
        <v>2</v>
      </c>
      <c r="M192" s="1" t="s">
        <v>51</v>
      </c>
      <c r="N192">
        <v>3892.86</v>
      </c>
      <c r="O192" s="1" t="s">
        <v>23</v>
      </c>
    </row>
    <row r="193" spans="1:15">
      <c r="A193" s="1" t="s">
        <v>269</v>
      </c>
      <c r="B193" s="1" t="s">
        <v>64</v>
      </c>
      <c r="C193" s="1" t="s">
        <v>65</v>
      </c>
      <c r="D193" s="1" t="s">
        <v>66</v>
      </c>
      <c r="E193" s="2">
        <v>45813</v>
      </c>
      <c r="F193" s="2">
        <v>45815</v>
      </c>
      <c r="G193" s="2"/>
      <c r="H193" s="1" t="s">
        <v>28</v>
      </c>
      <c r="I193" s="1" t="s">
        <v>41</v>
      </c>
      <c r="J193" s="1" t="s">
        <v>50</v>
      </c>
      <c r="K193">
        <v>2</v>
      </c>
      <c r="M193" s="1" t="s">
        <v>51</v>
      </c>
      <c r="N193">
        <v>8286.35</v>
      </c>
      <c r="O193" s="1" t="s">
        <v>32</v>
      </c>
    </row>
    <row r="194" spans="1:15">
      <c r="A194" s="1" t="s">
        <v>270</v>
      </c>
      <c r="B194" s="1" t="s">
        <v>43</v>
      </c>
      <c r="C194" s="1" t="s">
        <v>35</v>
      </c>
      <c r="D194" s="1" t="s">
        <v>36</v>
      </c>
      <c r="E194" s="2">
        <v>46046</v>
      </c>
      <c r="F194" s="2">
        <v>46051</v>
      </c>
      <c r="G194" s="2">
        <v>46058</v>
      </c>
      <c r="H194" s="1" t="s">
        <v>28</v>
      </c>
      <c r="I194" s="1" t="s">
        <v>38</v>
      </c>
      <c r="J194" s="1" t="s">
        <v>30</v>
      </c>
      <c r="K194">
        <v>5</v>
      </c>
      <c r="L194">
        <v>12</v>
      </c>
      <c r="M194" s="1" t="s">
        <v>22</v>
      </c>
      <c r="N194">
        <v>7375.38</v>
      </c>
      <c r="O194" s="1" t="s">
        <v>39</v>
      </c>
    </row>
    <row r="195" spans="1:15">
      <c r="A195" s="1" t="s">
        <v>271</v>
      </c>
      <c r="B195" s="1" t="s">
        <v>83</v>
      </c>
      <c r="C195" s="1" t="s">
        <v>17</v>
      </c>
      <c r="D195" s="1" t="s">
        <v>18</v>
      </c>
      <c r="E195" s="2">
        <v>46072</v>
      </c>
      <c r="F195" s="2">
        <v>46077</v>
      </c>
      <c r="G195" s="2">
        <v>46079</v>
      </c>
      <c r="H195" s="1" t="s">
        <v>19</v>
      </c>
      <c r="I195" s="1" t="s">
        <v>38</v>
      </c>
      <c r="J195" s="1" t="s">
        <v>30</v>
      </c>
      <c r="K195">
        <v>5</v>
      </c>
      <c r="L195">
        <v>7</v>
      </c>
      <c r="M195" s="1" t="s">
        <v>22</v>
      </c>
      <c r="N195">
        <v>11295.97</v>
      </c>
      <c r="O195" s="1" t="s">
        <v>23</v>
      </c>
    </row>
    <row r="196" spans="1:15">
      <c r="A196" s="1" t="s">
        <v>272</v>
      </c>
      <c r="B196" s="1" t="s">
        <v>68</v>
      </c>
      <c r="C196" s="1" t="s">
        <v>58</v>
      </c>
      <c r="D196" s="1" t="s">
        <v>59</v>
      </c>
      <c r="E196" s="2">
        <v>46002</v>
      </c>
      <c r="F196" s="2">
        <v>46004</v>
      </c>
      <c r="G196" s="2">
        <v>46014</v>
      </c>
      <c r="H196" s="1" t="s">
        <v>44</v>
      </c>
      <c r="I196" s="1" t="s">
        <v>41</v>
      </c>
      <c r="J196" s="1" t="s">
        <v>30</v>
      </c>
      <c r="K196">
        <v>2</v>
      </c>
      <c r="L196">
        <v>12</v>
      </c>
      <c r="M196" s="1" t="s">
        <v>22</v>
      </c>
      <c r="N196">
        <v>14286.95</v>
      </c>
      <c r="O196" s="1" t="s">
        <v>32</v>
      </c>
    </row>
    <row r="197" spans="1:15">
      <c r="A197" s="1" t="s">
        <v>273</v>
      </c>
      <c r="B197" s="1" t="s">
        <v>97</v>
      </c>
      <c r="C197" s="1" t="s">
        <v>58</v>
      </c>
      <c r="D197" s="1" t="s">
        <v>59</v>
      </c>
      <c r="E197" s="2">
        <v>46087</v>
      </c>
      <c r="F197" s="2">
        <v>46102</v>
      </c>
      <c r="G197" s="2"/>
      <c r="H197" s="1" t="s">
        <v>37</v>
      </c>
      <c r="I197" s="1" t="s">
        <v>29</v>
      </c>
      <c r="J197" s="1" t="s">
        <v>21</v>
      </c>
      <c r="K197">
        <v>15</v>
      </c>
      <c r="L197">
        <v>29</v>
      </c>
      <c r="M197" s="1" t="s">
        <v>22</v>
      </c>
      <c r="N197">
        <v>15361.52</v>
      </c>
      <c r="O197" s="1" t="s">
        <v>39</v>
      </c>
    </row>
    <row r="198" spans="1:15">
      <c r="A198" s="1" t="s">
        <v>274</v>
      </c>
      <c r="B198" s="1" t="s">
        <v>100</v>
      </c>
      <c r="C198" s="1" t="s">
        <v>47</v>
      </c>
      <c r="D198" s="1" t="s">
        <v>48</v>
      </c>
      <c r="E198" s="2">
        <v>45895</v>
      </c>
      <c r="F198" s="2">
        <v>45897</v>
      </c>
      <c r="G198" s="2">
        <v>45911</v>
      </c>
      <c r="H198" s="1" t="s">
        <v>19</v>
      </c>
      <c r="I198" s="1" t="s">
        <v>41</v>
      </c>
      <c r="J198" s="1" t="s">
        <v>30</v>
      </c>
      <c r="K198">
        <v>2</v>
      </c>
      <c r="L198">
        <v>16</v>
      </c>
      <c r="M198" s="1" t="s">
        <v>22</v>
      </c>
      <c r="N198">
        <v>10179.299999999999</v>
      </c>
      <c r="O198" s="1" t="s">
        <v>39</v>
      </c>
    </row>
    <row r="199" spans="1:15">
      <c r="A199" s="1" t="s">
        <v>275</v>
      </c>
      <c r="B199" s="1" t="s">
        <v>68</v>
      </c>
      <c r="C199" s="1" t="s">
        <v>58</v>
      </c>
      <c r="D199" s="1" t="s">
        <v>59</v>
      </c>
      <c r="E199" s="2">
        <v>45950</v>
      </c>
      <c r="F199" s="2">
        <v>45960</v>
      </c>
      <c r="G199" s="2"/>
      <c r="H199" s="1" t="s">
        <v>19</v>
      </c>
      <c r="I199" s="1" t="s">
        <v>20</v>
      </c>
      <c r="J199" s="1" t="s">
        <v>21</v>
      </c>
      <c r="K199">
        <v>10</v>
      </c>
      <c r="L199">
        <v>12</v>
      </c>
      <c r="M199" s="1" t="s">
        <v>22</v>
      </c>
      <c r="N199">
        <v>16530.05</v>
      </c>
      <c r="O199" s="1" t="s">
        <v>32</v>
      </c>
    </row>
    <row r="200" spans="1:15">
      <c r="A200" s="1" t="s">
        <v>276</v>
      </c>
      <c r="B200" s="1" t="s">
        <v>76</v>
      </c>
      <c r="C200" s="1" t="s">
        <v>77</v>
      </c>
      <c r="D200" s="1" t="s">
        <v>78</v>
      </c>
      <c r="E200" s="2">
        <v>46008</v>
      </c>
      <c r="F200" s="2">
        <v>46018</v>
      </c>
      <c r="G200" s="2"/>
      <c r="H200" s="1" t="s">
        <v>28</v>
      </c>
      <c r="I200" s="1" t="s">
        <v>20</v>
      </c>
      <c r="J200" s="1" t="s">
        <v>53</v>
      </c>
      <c r="K200">
        <v>10</v>
      </c>
      <c r="M200" s="1" t="s">
        <v>54</v>
      </c>
      <c r="N200">
        <v>8405.91</v>
      </c>
      <c r="O200" s="1" t="s">
        <v>79</v>
      </c>
    </row>
    <row r="201" spans="1:15">
      <c r="A201" s="1" t="s">
        <v>277</v>
      </c>
      <c r="B201" s="1" t="s">
        <v>64</v>
      </c>
      <c r="C201" s="1" t="s">
        <v>65</v>
      </c>
      <c r="D201" s="1" t="s">
        <v>66</v>
      </c>
      <c r="E201" s="2">
        <v>45752</v>
      </c>
      <c r="F201" s="2">
        <v>45757</v>
      </c>
      <c r="G201" s="2">
        <v>45753</v>
      </c>
      <c r="H201" s="1" t="s">
        <v>19</v>
      </c>
      <c r="I201" s="1" t="s">
        <v>38</v>
      </c>
      <c r="J201" s="1" t="s">
        <v>30</v>
      </c>
      <c r="K201">
        <v>5</v>
      </c>
      <c r="L201">
        <v>1</v>
      </c>
      <c r="M201" s="1" t="s">
        <v>31</v>
      </c>
      <c r="N201">
        <v>13407.29</v>
      </c>
      <c r="O201" s="1" t="s">
        <v>32</v>
      </c>
    </row>
    <row r="202" spans="1:15">
      <c r="A202" s="1" t="s">
        <v>278</v>
      </c>
      <c r="B202" s="1" t="s">
        <v>115</v>
      </c>
      <c r="C202" s="1" t="s">
        <v>26</v>
      </c>
      <c r="D202" s="1" t="s">
        <v>27</v>
      </c>
      <c r="E202" s="2">
        <v>46104</v>
      </c>
      <c r="F202" s="2">
        <v>46109</v>
      </c>
      <c r="G202" s="2">
        <v>46116</v>
      </c>
      <c r="H202" s="1" t="s">
        <v>60</v>
      </c>
      <c r="I202" s="1" t="s">
        <v>38</v>
      </c>
      <c r="J202" s="1" t="s">
        <v>30</v>
      </c>
      <c r="K202">
        <v>5</v>
      </c>
      <c r="L202">
        <v>12</v>
      </c>
      <c r="M202" s="1" t="s">
        <v>22</v>
      </c>
      <c r="N202">
        <v>19958.72</v>
      </c>
      <c r="O202" s="1" t="s">
        <v>95</v>
      </c>
    </row>
    <row r="203" spans="1:15">
      <c r="A203" s="1" t="s">
        <v>279</v>
      </c>
      <c r="B203" s="1" t="s">
        <v>57</v>
      </c>
      <c r="C203" s="1" t="s">
        <v>58</v>
      </c>
      <c r="D203" s="1" t="s">
        <v>59</v>
      </c>
      <c r="E203" s="2">
        <v>46202</v>
      </c>
      <c r="F203" s="2">
        <v>46204</v>
      </c>
      <c r="G203" s="2">
        <v>46205</v>
      </c>
      <c r="H203" s="1" t="s">
        <v>60</v>
      </c>
      <c r="I203" s="1" t="s">
        <v>41</v>
      </c>
      <c r="J203" s="1" t="s">
        <v>30</v>
      </c>
      <c r="K203">
        <v>2</v>
      </c>
      <c r="L203">
        <v>3</v>
      </c>
      <c r="M203" s="1" t="s">
        <v>22</v>
      </c>
      <c r="N203">
        <v>15818.97</v>
      </c>
      <c r="O203" s="1" t="s">
        <v>39</v>
      </c>
    </row>
    <row r="204" spans="1:15">
      <c r="A204" s="1" t="s">
        <v>280</v>
      </c>
      <c r="B204" s="1" t="s">
        <v>97</v>
      </c>
      <c r="C204" s="1" t="s">
        <v>58</v>
      </c>
      <c r="D204" s="1" t="s">
        <v>59</v>
      </c>
      <c r="E204" s="2">
        <v>45662</v>
      </c>
      <c r="F204" s="2">
        <v>45677</v>
      </c>
      <c r="G204" s="2"/>
      <c r="H204" s="1" t="s">
        <v>37</v>
      </c>
      <c r="I204" s="1" t="s">
        <v>29</v>
      </c>
      <c r="J204" s="1" t="s">
        <v>21</v>
      </c>
      <c r="K204">
        <v>15</v>
      </c>
      <c r="L204">
        <v>18</v>
      </c>
      <c r="M204" s="1" t="s">
        <v>22</v>
      </c>
      <c r="N204">
        <v>23046.75</v>
      </c>
      <c r="O204" s="1" t="s">
        <v>39</v>
      </c>
    </row>
    <row r="205" spans="1:15">
      <c r="A205" s="1" t="s">
        <v>281</v>
      </c>
      <c r="B205" s="1" t="s">
        <v>71</v>
      </c>
      <c r="C205" s="1" t="s">
        <v>72</v>
      </c>
      <c r="D205" s="1" t="s">
        <v>73</v>
      </c>
      <c r="E205" s="2">
        <v>45744</v>
      </c>
      <c r="F205" s="2">
        <v>45749</v>
      </c>
      <c r="G205" s="2"/>
      <c r="H205" s="1" t="s">
        <v>19</v>
      </c>
      <c r="I205" s="1" t="s">
        <v>38</v>
      </c>
      <c r="J205" s="1" t="s">
        <v>50</v>
      </c>
      <c r="K205">
        <v>5</v>
      </c>
      <c r="M205" s="1" t="s">
        <v>51</v>
      </c>
      <c r="N205">
        <v>19700.48</v>
      </c>
      <c r="O205" s="1" t="s">
        <v>39</v>
      </c>
    </row>
    <row r="206" spans="1:15">
      <c r="A206" s="1" t="s">
        <v>282</v>
      </c>
      <c r="B206" s="1" t="s">
        <v>83</v>
      </c>
      <c r="C206" s="1" t="s">
        <v>17</v>
      </c>
      <c r="D206" s="1" t="s">
        <v>18</v>
      </c>
      <c r="E206" s="2">
        <v>45763</v>
      </c>
      <c r="F206" s="2">
        <v>45765</v>
      </c>
      <c r="G206" s="2"/>
      <c r="H206" s="1" t="s">
        <v>28</v>
      </c>
      <c r="I206" s="1" t="s">
        <v>41</v>
      </c>
      <c r="J206" s="1" t="s">
        <v>53</v>
      </c>
      <c r="K206">
        <v>2</v>
      </c>
      <c r="M206" s="1" t="s">
        <v>54</v>
      </c>
      <c r="N206">
        <v>22584.21</v>
      </c>
      <c r="O206" s="1" t="s">
        <v>23</v>
      </c>
    </row>
    <row r="207" spans="1:15">
      <c r="A207" s="1" t="s">
        <v>283</v>
      </c>
      <c r="B207" s="1" t="s">
        <v>86</v>
      </c>
      <c r="C207" s="1" t="s">
        <v>47</v>
      </c>
      <c r="D207" s="1" t="s">
        <v>48</v>
      </c>
      <c r="E207" s="2">
        <v>46099</v>
      </c>
      <c r="F207" s="2">
        <v>46109</v>
      </c>
      <c r="G207" s="2"/>
      <c r="H207" s="1" t="s">
        <v>60</v>
      </c>
      <c r="I207" s="1" t="s">
        <v>20</v>
      </c>
      <c r="J207" s="1" t="s">
        <v>53</v>
      </c>
      <c r="K207">
        <v>10</v>
      </c>
      <c r="M207" s="1" t="s">
        <v>54</v>
      </c>
      <c r="N207">
        <v>13886.2</v>
      </c>
      <c r="O207" s="1" t="s">
        <v>79</v>
      </c>
    </row>
    <row r="208" spans="1:15">
      <c r="A208" s="1" t="s">
        <v>284</v>
      </c>
      <c r="B208" s="1" t="s">
        <v>92</v>
      </c>
      <c r="C208" s="1" t="s">
        <v>93</v>
      </c>
      <c r="D208" s="1" t="s">
        <v>94</v>
      </c>
      <c r="E208" s="2">
        <v>45787</v>
      </c>
      <c r="F208" s="2">
        <v>45797</v>
      </c>
      <c r="G208" s="2"/>
      <c r="H208" s="1" t="s">
        <v>49</v>
      </c>
      <c r="I208" s="1" t="s">
        <v>20</v>
      </c>
      <c r="J208" s="1" t="s">
        <v>50</v>
      </c>
      <c r="K208">
        <v>10</v>
      </c>
      <c r="M208" s="1" t="s">
        <v>51</v>
      </c>
      <c r="N208">
        <v>23581.43</v>
      </c>
      <c r="O208" s="1" t="s">
        <v>95</v>
      </c>
    </row>
    <row r="209" spans="1:15">
      <c r="A209" s="1" t="s">
        <v>285</v>
      </c>
      <c r="B209" s="1" t="s">
        <v>117</v>
      </c>
      <c r="C209" s="1" t="s">
        <v>93</v>
      </c>
      <c r="D209" s="1" t="s">
        <v>94</v>
      </c>
      <c r="E209" s="2">
        <v>45918</v>
      </c>
      <c r="F209" s="2">
        <v>45933</v>
      </c>
      <c r="G209" s="2">
        <v>45924</v>
      </c>
      <c r="H209" s="1" t="s">
        <v>49</v>
      </c>
      <c r="I209" s="1" t="s">
        <v>29</v>
      </c>
      <c r="J209" s="1" t="s">
        <v>30</v>
      </c>
      <c r="K209">
        <v>15</v>
      </c>
      <c r="L209">
        <v>6</v>
      </c>
      <c r="M209" s="1" t="s">
        <v>31</v>
      </c>
      <c r="N209">
        <v>13624.75</v>
      </c>
      <c r="O209" s="1" t="s">
        <v>95</v>
      </c>
    </row>
    <row r="210" spans="1:15">
      <c r="A210" s="1" t="s">
        <v>286</v>
      </c>
      <c r="B210" s="1" t="s">
        <v>25</v>
      </c>
      <c r="C210" s="1" t="s">
        <v>26</v>
      </c>
      <c r="D210" s="1" t="s">
        <v>27</v>
      </c>
      <c r="E210" s="2">
        <v>45696</v>
      </c>
      <c r="F210" s="2">
        <v>45698</v>
      </c>
      <c r="G210" s="2"/>
      <c r="H210" s="1" t="s">
        <v>60</v>
      </c>
      <c r="I210" s="1" t="s">
        <v>41</v>
      </c>
      <c r="J210" s="1" t="s">
        <v>53</v>
      </c>
      <c r="K210">
        <v>2</v>
      </c>
      <c r="M210" s="1" t="s">
        <v>54</v>
      </c>
      <c r="N210">
        <v>980.48</v>
      </c>
      <c r="O210" s="1" t="s">
        <v>32</v>
      </c>
    </row>
    <row r="211" spans="1:15">
      <c r="A211" s="1" t="s">
        <v>287</v>
      </c>
      <c r="B211" s="1" t="s">
        <v>76</v>
      </c>
      <c r="C211" s="1" t="s">
        <v>77</v>
      </c>
      <c r="D211" s="1" t="s">
        <v>78</v>
      </c>
      <c r="E211" s="2">
        <v>46164</v>
      </c>
      <c r="F211" s="2">
        <v>46169</v>
      </c>
      <c r="G211" s="2">
        <v>46167</v>
      </c>
      <c r="H211" s="1" t="s">
        <v>19</v>
      </c>
      <c r="I211" s="1" t="s">
        <v>38</v>
      </c>
      <c r="J211" s="1" t="s">
        <v>30</v>
      </c>
      <c r="K211">
        <v>5</v>
      </c>
      <c r="L211">
        <v>3</v>
      </c>
      <c r="M211" s="1" t="s">
        <v>31</v>
      </c>
      <c r="N211">
        <v>11873.34</v>
      </c>
      <c r="O211" s="1" t="s">
        <v>79</v>
      </c>
    </row>
    <row r="212" spans="1:15">
      <c r="A212" s="1" t="s">
        <v>288</v>
      </c>
      <c r="B212" s="1" t="s">
        <v>16</v>
      </c>
      <c r="C212" s="1" t="s">
        <v>17</v>
      </c>
      <c r="D212" s="1" t="s">
        <v>18</v>
      </c>
      <c r="E212" s="2">
        <v>46143</v>
      </c>
      <c r="F212" s="2">
        <v>46148</v>
      </c>
      <c r="G212" s="2"/>
      <c r="H212" s="1" t="s">
        <v>37</v>
      </c>
      <c r="I212" s="1" t="s">
        <v>38</v>
      </c>
      <c r="J212" s="1" t="s">
        <v>50</v>
      </c>
      <c r="K212">
        <v>5</v>
      </c>
      <c r="M212" s="1" t="s">
        <v>51</v>
      </c>
      <c r="N212">
        <v>12057.14</v>
      </c>
      <c r="O212" s="1" t="s">
        <v>23</v>
      </c>
    </row>
    <row r="213" spans="1:15">
      <c r="A213" s="1" t="s">
        <v>289</v>
      </c>
      <c r="B213" s="1" t="s">
        <v>171</v>
      </c>
      <c r="C213" s="1" t="s">
        <v>77</v>
      </c>
      <c r="D213" s="1" t="s">
        <v>78</v>
      </c>
      <c r="E213" s="2">
        <v>45733</v>
      </c>
      <c r="F213" s="2">
        <v>45748</v>
      </c>
      <c r="G213" s="2">
        <v>45746</v>
      </c>
      <c r="H213" s="1" t="s">
        <v>19</v>
      </c>
      <c r="I213" s="1" t="s">
        <v>29</v>
      </c>
      <c r="J213" s="1" t="s">
        <v>30</v>
      </c>
      <c r="K213">
        <v>15</v>
      </c>
      <c r="L213">
        <v>13</v>
      </c>
      <c r="M213" s="1" t="s">
        <v>31</v>
      </c>
      <c r="N213">
        <v>8172.29</v>
      </c>
      <c r="O213" s="1" t="s">
        <v>23</v>
      </c>
    </row>
    <row r="214" spans="1:15">
      <c r="A214" s="1" t="s">
        <v>290</v>
      </c>
      <c r="B214" s="1" t="s">
        <v>171</v>
      </c>
      <c r="C214" s="1" t="s">
        <v>77</v>
      </c>
      <c r="D214" s="1" t="s">
        <v>78</v>
      </c>
      <c r="E214" s="2">
        <v>46175</v>
      </c>
      <c r="F214" s="2">
        <v>46177</v>
      </c>
      <c r="G214" s="2">
        <v>46184</v>
      </c>
      <c r="H214" s="1" t="s">
        <v>49</v>
      </c>
      <c r="I214" s="1" t="s">
        <v>41</v>
      </c>
      <c r="J214" s="1" t="s">
        <v>30</v>
      </c>
      <c r="K214">
        <v>2</v>
      </c>
      <c r="L214">
        <v>9</v>
      </c>
      <c r="M214" s="1" t="s">
        <v>22</v>
      </c>
      <c r="N214">
        <v>8101</v>
      </c>
      <c r="O214" s="1" t="s">
        <v>23</v>
      </c>
    </row>
    <row r="215" spans="1:15">
      <c r="A215" s="1" t="s">
        <v>291</v>
      </c>
      <c r="B215" s="1" t="s">
        <v>105</v>
      </c>
      <c r="C215" s="1" t="s">
        <v>106</v>
      </c>
      <c r="D215" s="1" t="s">
        <v>107</v>
      </c>
      <c r="E215" s="2">
        <v>45990</v>
      </c>
      <c r="F215" s="2">
        <v>45995</v>
      </c>
      <c r="G215" s="2"/>
      <c r="H215" s="1" t="s">
        <v>28</v>
      </c>
      <c r="I215" s="1" t="s">
        <v>38</v>
      </c>
      <c r="J215" s="1" t="s">
        <v>50</v>
      </c>
      <c r="K215">
        <v>5</v>
      </c>
      <c r="M215" s="1" t="s">
        <v>51</v>
      </c>
      <c r="N215">
        <v>12914.93</v>
      </c>
      <c r="O215" s="1" t="s">
        <v>32</v>
      </c>
    </row>
    <row r="216" spans="1:15">
      <c r="A216" s="1" t="s">
        <v>292</v>
      </c>
      <c r="B216" s="1" t="s">
        <v>76</v>
      </c>
      <c r="C216" s="1" t="s">
        <v>77</v>
      </c>
      <c r="D216" s="1" t="s">
        <v>78</v>
      </c>
      <c r="E216" s="2">
        <v>45779</v>
      </c>
      <c r="F216" s="2">
        <v>45794</v>
      </c>
      <c r="G216" s="2"/>
      <c r="H216" s="1" t="s">
        <v>37</v>
      </c>
      <c r="I216" s="1" t="s">
        <v>29</v>
      </c>
      <c r="J216" s="1" t="s">
        <v>21</v>
      </c>
      <c r="K216">
        <v>15</v>
      </c>
      <c r="L216">
        <v>26</v>
      </c>
      <c r="M216" s="1" t="s">
        <v>22</v>
      </c>
      <c r="N216">
        <v>17945.07</v>
      </c>
      <c r="O216" s="1" t="s">
        <v>79</v>
      </c>
    </row>
    <row r="217" spans="1:15">
      <c r="A217" s="1" t="s">
        <v>293</v>
      </c>
      <c r="B217" s="1" t="s">
        <v>46</v>
      </c>
      <c r="C217" s="1" t="s">
        <v>47</v>
      </c>
      <c r="D217" s="1" t="s">
        <v>48</v>
      </c>
      <c r="E217" s="2">
        <v>45847</v>
      </c>
      <c r="F217" s="2">
        <v>45857</v>
      </c>
      <c r="G217" s="2"/>
      <c r="H217" s="1" t="s">
        <v>19</v>
      </c>
      <c r="I217" s="1" t="s">
        <v>20</v>
      </c>
      <c r="J217" s="1" t="s">
        <v>53</v>
      </c>
      <c r="K217">
        <v>10</v>
      </c>
      <c r="M217" s="1" t="s">
        <v>54</v>
      </c>
      <c r="N217">
        <v>3076.06</v>
      </c>
      <c r="O217" s="1" t="s">
        <v>39</v>
      </c>
    </row>
    <row r="218" spans="1:15">
      <c r="A218" s="1" t="s">
        <v>294</v>
      </c>
      <c r="B218" s="1" t="s">
        <v>171</v>
      </c>
      <c r="C218" s="1" t="s">
        <v>77</v>
      </c>
      <c r="D218" s="1" t="s">
        <v>78</v>
      </c>
      <c r="E218" s="2">
        <v>45737</v>
      </c>
      <c r="F218" s="2">
        <v>45742</v>
      </c>
      <c r="G218" s="2">
        <v>45739</v>
      </c>
      <c r="H218" s="1" t="s">
        <v>28</v>
      </c>
      <c r="I218" s="1" t="s">
        <v>38</v>
      </c>
      <c r="J218" s="1" t="s">
        <v>30</v>
      </c>
      <c r="K218">
        <v>5</v>
      </c>
      <c r="L218">
        <v>2</v>
      </c>
      <c r="M218" s="1" t="s">
        <v>31</v>
      </c>
      <c r="N218">
        <v>17638.39</v>
      </c>
      <c r="O218" s="1" t="s">
        <v>23</v>
      </c>
    </row>
    <row r="219" spans="1:15">
      <c r="A219" s="1" t="s">
        <v>295</v>
      </c>
      <c r="B219" s="1" t="s">
        <v>92</v>
      </c>
      <c r="C219" s="1" t="s">
        <v>93</v>
      </c>
      <c r="D219" s="1" t="s">
        <v>94</v>
      </c>
      <c r="E219" s="2">
        <v>45891</v>
      </c>
      <c r="F219" s="2">
        <v>45896</v>
      </c>
      <c r="G219" s="2">
        <v>45908</v>
      </c>
      <c r="H219" s="1" t="s">
        <v>49</v>
      </c>
      <c r="I219" s="1" t="s">
        <v>38</v>
      </c>
      <c r="J219" s="1" t="s">
        <v>30</v>
      </c>
      <c r="K219">
        <v>5</v>
      </c>
      <c r="L219">
        <v>17</v>
      </c>
      <c r="M219" s="1" t="s">
        <v>22</v>
      </c>
      <c r="N219">
        <v>7164</v>
      </c>
      <c r="O219" s="1" t="s">
        <v>95</v>
      </c>
    </row>
    <row r="220" spans="1:15">
      <c r="A220" s="1" t="s">
        <v>296</v>
      </c>
      <c r="B220" s="1" t="s">
        <v>83</v>
      </c>
      <c r="C220" s="1" t="s">
        <v>17</v>
      </c>
      <c r="D220" s="1" t="s">
        <v>18</v>
      </c>
      <c r="E220" s="2">
        <v>46080</v>
      </c>
      <c r="F220" s="2">
        <v>46090</v>
      </c>
      <c r="G220" s="2"/>
      <c r="H220" s="1" t="s">
        <v>37</v>
      </c>
      <c r="I220" s="1" t="s">
        <v>20</v>
      </c>
      <c r="J220" s="1" t="s">
        <v>21</v>
      </c>
      <c r="K220">
        <v>10</v>
      </c>
      <c r="L220">
        <v>20</v>
      </c>
      <c r="M220" s="1" t="s">
        <v>22</v>
      </c>
      <c r="N220">
        <v>7447.87</v>
      </c>
      <c r="O220" s="1" t="s">
        <v>23</v>
      </c>
    </row>
    <row r="221" spans="1:15">
      <c r="A221" s="1" t="s">
        <v>297</v>
      </c>
      <c r="B221" s="1" t="s">
        <v>112</v>
      </c>
      <c r="C221" s="1" t="s">
        <v>17</v>
      </c>
      <c r="D221" s="1" t="s">
        <v>18</v>
      </c>
      <c r="E221" s="2">
        <v>45967</v>
      </c>
      <c r="F221" s="2">
        <v>45969</v>
      </c>
      <c r="G221" s="2"/>
      <c r="H221" s="1" t="s">
        <v>49</v>
      </c>
      <c r="I221" s="1" t="s">
        <v>41</v>
      </c>
      <c r="J221" s="1" t="s">
        <v>53</v>
      </c>
      <c r="K221">
        <v>2</v>
      </c>
      <c r="M221" s="1" t="s">
        <v>54</v>
      </c>
      <c r="N221">
        <v>9526.6299999999992</v>
      </c>
      <c r="O221" s="1" t="s">
        <v>95</v>
      </c>
    </row>
    <row r="222" spans="1:15">
      <c r="A222" s="1" t="s">
        <v>298</v>
      </c>
      <c r="B222" s="1" t="s">
        <v>105</v>
      </c>
      <c r="C222" s="1" t="s">
        <v>106</v>
      </c>
      <c r="D222" s="1" t="s">
        <v>107</v>
      </c>
      <c r="E222" s="2">
        <v>45685</v>
      </c>
      <c r="F222" s="2">
        <v>45690</v>
      </c>
      <c r="G222" s="2"/>
      <c r="H222" s="1" t="s">
        <v>49</v>
      </c>
      <c r="I222" s="1" t="s">
        <v>38</v>
      </c>
      <c r="J222" s="1" t="s">
        <v>50</v>
      </c>
      <c r="K222">
        <v>5</v>
      </c>
      <c r="M222" s="1" t="s">
        <v>51</v>
      </c>
      <c r="N222">
        <v>10359.620000000001</v>
      </c>
      <c r="O222" s="1" t="s">
        <v>32</v>
      </c>
    </row>
    <row r="223" spans="1:15">
      <c r="A223" s="1" t="s">
        <v>299</v>
      </c>
      <c r="B223" s="1" t="s">
        <v>57</v>
      </c>
      <c r="C223" s="1" t="s">
        <v>58</v>
      </c>
      <c r="D223" s="1" t="s">
        <v>59</v>
      </c>
      <c r="E223" s="2">
        <v>45704</v>
      </c>
      <c r="F223" s="2">
        <v>45706</v>
      </c>
      <c r="G223" s="2">
        <v>45723</v>
      </c>
      <c r="H223" s="1" t="s">
        <v>19</v>
      </c>
      <c r="I223" s="1" t="s">
        <v>41</v>
      </c>
      <c r="J223" s="1" t="s">
        <v>30</v>
      </c>
      <c r="K223">
        <v>2</v>
      </c>
      <c r="L223">
        <v>19</v>
      </c>
      <c r="M223" s="1" t="s">
        <v>22</v>
      </c>
      <c r="N223">
        <v>3350.06</v>
      </c>
      <c r="O223" s="1" t="s">
        <v>39</v>
      </c>
    </row>
    <row r="224" spans="1:15">
      <c r="A224" s="1" t="s">
        <v>300</v>
      </c>
      <c r="B224" s="1" t="s">
        <v>16</v>
      </c>
      <c r="C224" s="1" t="s">
        <v>17</v>
      </c>
      <c r="D224" s="1" t="s">
        <v>18</v>
      </c>
      <c r="E224" s="2">
        <v>45713</v>
      </c>
      <c r="F224" s="2">
        <v>45723</v>
      </c>
      <c r="G224" s="2"/>
      <c r="H224" s="1" t="s">
        <v>44</v>
      </c>
      <c r="I224" s="1" t="s">
        <v>20</v>
      </c>
      <c r="J224" s="1" t="s">
        <v>50</v>
      </c>
      <c r="K224">
        <v>10</v>
      </c>
      <c r="M224" s="1" t="s">
        <v>51</v>
      </c>
      <c r="N224">
        <v>15185.47</v>
      </c>
      <c r="O224" s="1" t="s">
        <v>23</v>
      </c>
    </row>
    <row r="225" spans="1:15">
      <c r="A225" s="1" t="s">
        <v>301</v>
      </c>
      <c r="B225" s="1" t="s">
        <v>112</v>
      </c>
      <c r="C225" s="1" t="s">
        <v>17</v>
      </c>
      <c r="D225" s="1" t="s">
        <v>18</v>
      </c>
      <c r="E225" s="2">
        <v>45670</v>
      </c>
      <c r="F225" s="2">
        <v>45685</v>
      </c>
      <c r="G225" s="2">
        <v>45682</v>
      </c>
      <c r="H225" s="1" t="s">
        <v>60</v>
      </c>
      <c r="I225" s="1" t="s">
        <v>29</v>
      </c>
      <c r="J225" s="1" t="s">
        <v>30</v>
      </c>
      <c r="K225">
        <v>15</v>
      </c>
      <c r="L225">
        <v>12</v>
      </c>
      <c r="M225" s="1" t="s">
        <v>31</v>
      </c>
      <c r="N225">
        <v>18366.84</v>
      </c>
      <c r="O225" s="1" t="s">
        <v>95</v>
      </c>
    </row>
    <row r="226" spans="1:15">
      <c r="A226" s="1" t="s">
        <v>302</v>
      </c>
      <c r="B226" s="1" t="s">
        <v>57</v>
      </c>
      <c r="C226" s="1" t="s">
        <v>58</v>
      </c>
      <c r="D226" s="1" t="s">
        <v>59</v>
      </c>
      <c r="E226" s="2">
        <v>46171</v>
      </c>
      <c r="F226" s="2">
        <v>46181</v>
      </c>
      <c r="G226" s="2"/>
      <c r="H226" s="1" t="s">
        <v>44</v>
      </c>
      <c r="I226" s="1" t="s">
        <v>20</v>
      </c>
      <c r="J226" s="1" t="s">
        <v>50</v>
      </c>
      <c r="K226">
        <v>10</v>
      </c>
      <c r="M226" s="1" t="s">
        <v>51</v>
      </c>
      <c r="N226">
        <v>23312</v>
      </c>
      <c r="O226" s="1" t="s">
        <v>39</v>
      </c>
    </row>
    <row r="227" spans="1:15">
      <c r="A227" s="1" t="s">
        <v>303</v>
      </c>
      <c r="B227" s="1" t="s">
        <v>68</v>
      </c>
      <c r="C227" s="1" t="s">
        <v>58</v>
      </c>
      <c r="D227" s="1" t="s">
        <v>59</v>
      </c>
      <c r="E227" s="2">
        <v>45706</v>
      </c>
      <c r="F227" s="2">
        <v>45708</v>
      </c>
      <c r="G227" s="2"/>
      <c r="H227" s="1" t="s">
        <v>28</v>
      </c>
      <c r="I227" s="1" t="s">
        <v>41</v>
      </c>
      <c r="J227" s="1" t="s">
        <v>21</v>
      </c>
      <c r="K227">
        <v>2</v>
      </c>
      <c r="L227">
        <v>13</v>
      </c>
      <c r="M227" s="1" t="s">
        <v>22</v>
      </c>
      <c r="N227">
        <v>5756.06</v>
      </c>
      <c r="O227" s="1" t="s">
        <v>32</v>
      </c>
    </row>
    <row r="228" spans="1:15">
      <c r="A228" s="1" t="s">
        <v>304</v>
      </c>
      <c r="B228" s="1" t="s">
        <v>57</v>
      </c>
      <c r="C228" s="1" t="s">
        <v>58</v>
      </c>
      <c r="D228" s="1" t="s">
        <v>59</v>
      </c>
      <c r="E228" s="2">
        <v>45769</v>
      </c>
      <c r="F228" s="2">
        <v>45771</v>
      </c>
      <c r="G228" s="2">
        <v>45771</v>
      </c>
      <c r="H228" s="1" t="s">
        <v>28</v>
      </c>
      <c r="I228" s="1" t="s">
        <v>41</v>
      </c>
      <c r="J228" s="1" t="s">
        <v>30</v>
      </c>
      <c r="K228">
        <v>2</v>
      </c>
      <c r="L228">
        <v>2</v>
      </c>
      <c r="M228" s="1" t="s">
        <v>31</v>
      </c>
      <c r="N228">
        <v>5344.91</v>
      </c>
      <c r="O228" s="1" t="s">
        <v>39</v>
      </c>
    </row>
    <row r="229" spans="1:15">
      <c r="A229" s="1" t="s">
        <v>305</v>
      </c>
      <c r="B229" s="1" t="s">
        <v>76</v>
      </c>
      <c r="C229" s="1" t="s">
        <v>77</v>
      </c>
      <c r="D229" s="1" t="s">
        <v>78</v>
      </c>
      <c r="E229" s="2">
        <v>45941</v>
      </c>
      <c r="F229" s="2">
        <v>45956</v>
      </c>
      <c r="G229" s="2"/>
      <c r="H229" s="1" t="s">
        <v>49</v>
      </c>
      <c r="I229" s="1" t="s">
        <v>29</v>
      </c>
      <c r="J229" s="1" t="s">
        <v>53</v>
      </c>
      <c r="K229">
        <v>15</v>
      </c>
      <c r="M229" s="1" t="s">
        <v>54</v>
      </c>
      <c r="N229">
        <v>6451.65</v>
      </c>
      <c r="O229" s="1" t="s">
        <v>79</v>
      </c>
    </row>
    <row r="230" spans="1:15">
      <c r="A230" s="1" t="s">
        <v>306</v>
      </c>
      <c r="B230" s="1" t="s">
        <v>97</v>
      </c>
      <c r="C230" s="1" t="s">
        <v>58</v>
      </c>
      <c r="D230" s="1" t="s">
        <v>59</v>
      </c>
      <c r="E230" s="2">
        <v>45900</v>
      </c>
      <c r="F230" s="2">
        <v>45902</v>
      </c>
      <c r="G230" s="2"/>
      <c r="H230" s="1" t="s">
        <v>60</v>
      </c>
      <c r="I230" s="1" t="s">
        <v>41</v>
      </c>
      <c r="J230" s="1" t="s">
        <v>21</v>
      </c>
      <c r="K230">
        <v>2</v>
      </c>
      <c r="L230">
        <v>10</v>
      </c>
      <c r="M230" s="1" t="s">
        <v>22</v>
      </c>
      <c r="N230">
        <v>22508.14</v>
      </c>
      <c r="O230" s="1" t="s">
        <v>39</v>
      </c>
    </row>
    <row r="231" spans="1:15">
      <c r="A231" s="1" t="s">
        <v>307</v>
      </c>
      <c r="B231" s="1" t="s">
        <v>25</v>
      </c>
      <c r="C231" s="1" t="s">
        <v>26</v>
      </c>
      <c r="D231" s="1" t="s">
        <v>27</v>
      </c>
      <c r="E231" s="2">
        <v>45923</v>
      </c>
      <c r="F231" s="2">
        <v>45938</v>
      </c>
      <c r="G231" s="2">
        <v>45933</v>
      </c>
      <c r="H231" s="1" t="s">
        <v>49</v>
      </c>
      <c r="I231" s="1" t="s">
        <v>29</v>
      </c>
      <c r="J231" s="1" t="s">
        <v>30</v>
      </c>
      <c r="K231">
        <v>15</v>
      </c>
      <c r="L231">
        <v>10</v>
      </c>
      <c r="M231" s="1" t="s">
        <v>31</v>
      </c>
      <c r="N231">
        <v>10104.200000000001</v>
      </c>
      <c r="O231" s="1" t="s">
        <v>32</v>
      </c>
    </row>
    <row r="232" spans="1:15">
      <c r="A232" s="1" t="s">
        <v>308</v>
      </c>
      <c r="B232" s="1" t="s">
        <v>64</v>
      </c>
      <c r="C232" s="1" t="s">
        <v>65</v>
      </c>
      <c r="D232" s="1" t="s">
        <v>66</v>
      </c>
      <c r="E232" s="2">
        <v>45767</v>
      </c>
      <c r="F232" s="2">
        <v>45777</v>
      </c>
      <c r="G232" s="2">
        <v>45779</v>
      </c>
      <c r="H232" s="1" t="s">
        <v>44</v>
      </c>
      <c r="I232" s="1" t="s">
        <v>20</v>
      </c>
      <c r="J232" s="1" t="s">
        <v>30</v>
      </c>
      <c r="K232">
        <v>10</v>
      </c>
      <c r="L232">
        <v>12</v>
      </c>
      <c r="M232" s="1" t="s">
        <v>22</v>
      </c>
      <c r="N232">
        <v>17641.900000000001</v>
      </c>
      <c r="O232" s="1" t="s">
        <v>32</v>
      </c>
    </row>
    <row r="233" spans="1:15">
      <c r="A233" s="1" t="s">
        <v>309</v>
      </c>
      <c r="B233" s="1" t="s">
        <v>46</v>
      </c>
      <c r="C233" s="1" t="s">
        <v>47</v>
      </c>
      <c r="D233" s="1" t="s">
        <v>48</v>
      </c>
      <c r="E233" s="2">
        <v>45947</v>
      </c>
      <c r="F233" s="2">
        <v>45952</v>
      </c>
      <c r="G233" s="2">
        <v>45954</v>
      </c>
      <c r="H233" s="1" t="s">
        <v>28</v>
      </c>
      <c r="I233" s="1" t="s">
        <v>38</v>
      </c>
      <c r="J233" s="1" t="s">
        <v>30</v>
      </c>
      <c r="K233">
        <v>5</v>
      </c>
      <c r="L233">
        <v>7</v>
      </c>
      <c r="M233" s="1" t="s">
        <v>22</v>
      </c>
      <c r="N233">
        <v>21732.57</v>
      </c>
      <c r="O233" s="1" t="s">
        <v>39</v>
      </c>
    </row>
    <row r="234" spans="1:15">
      <c r="A234" s="1" t="s">
        <v>310</v>
      </c>
      <c r="B234" s="1" t="s">
        <v>83</v>
      </c>
      <c r="C234" s="1" t="s">
        <v>17</v>
      </c>
      <c r="D234" s="1" t="s">
        <v>18</v>
      </c>
      <c r="E234" s="2">
        <v>45981</v>
      </c>
      <c r="F234" s="2">
        <v>45991</v>
      </c>
      <c r="G234" s="2">
        <v>45987</v>
      </c>
      <c r="H234" s="1" t="s">
        <v>37</v>
      </c>
      <c r="I234" s="1" t="s">
        <v>20</v>
      </c>
      <c r="J234" s="1" t="s">
        <v>30</v>
      </c>
      <c r="K234">
        <v>10</v>
      </c>
      <c r="L234">
        <v>6</v>
      </c>
      <c r="M234" s="1" t="s">
        <v>31</v>
      </c>
      <c r="N234">
        <v>10858.11</v>
      </c>
      <c r="O234" s="1" t="s">
        <v>23</v>
      </c>
    </row>
    <row r="235" spans="1:15">
      <c r="A235" s="1" t="s">
        <v>311</v>
      </c>
      <c r="B235" s="1" t="s">
        <v>57</v>
      </c>
      <c r="C235" s="1" t="s">
        <v>58</v>
      </c>
      <c r="D235" s="1" t="s">
        <v>59</v>
      </c>
      <c r="E235" s="2">
        <v>46006</v>
      </c>
      <c r="F235" s="2">
        <v>46008</v>
      </c>
      <c r="G235" s="2"/>
      <c r="H235" s="1" t="s">
        <v>49</v>
      </c>
      <c r="I235" s="1" t="s">
        <v>41</v>
      </c>
      <c r="J235" s="1" t="s">
        <v>53</v>
      </c>
      <c r="K235">
        <v>2</v>
      </c>
      <c r="M235" s="1" t="s">
        <v>54</v>
      </c>
      <c r="N235">
        <v>14533.58</v>
      </c>
      <c r="O235" s="1" t="s">
        <v>39</v>
      </c>
    </row>
    <row r="236" spans="1:15">
      <c r="A236" s="1" t="s">
        <v>312</v>
      </c>
      <c r="B236" s="1" t="s">
        <v>68</v>
      </c>
      <c r="C236" s="1" t="s">
        <v>58</v>
      </c>
      <c r="D236" s="1" t="s">
        <v>59</v>
      </c>
      <c r="E236" s="2">
        <v>45946</v>
      </c>
      <c r="F236" s="2">
        <v>45948</v>
      </c>
      <c r="G236" s="2"/>
      <c r="H236" s="1" t="s">
        <v>49</v>
      </c>
      <c r="I236" s="1" t="s">
        <v>41</v>
      </c>
      <c r="J236" s="1" t="s">
        <v>53</v>
      </c>
      <c r="K236">
        <v>2</v>
      </c>
      <c r="M236" s="1" t="s">
        <v>54</v>
      </c>
      <c r="N236">
        <v>644.98</v>
      </c>
      <c r="O236" s="1" t="s">
        <v>32</v>
      </c>
    </row>
    <row r="237" spans="1:15">
      <c r="A237" s="1" t="s">
        <v>313</v>
      </c>
      <c r="B237" s="1" t="s">
        <v>64</v>
      </c>
      <c r="C237" s="1" t="s">
        <v>65</v>
      </c>
      <c r="D237" s="1" t="s">
        <v>66</v>
      </c>
      <c r="E237" s="2">
        <v>46192</v>
      </c>
      <c r="F237" s="2">
        <v>46202</v>
      </c>
      <c r="G237" s="2"/>
      <c r="H237" s="1" t="s">
        <v>44</v>
      </c>
      <c r="I237" s="1" t="s">
        <v>20</v>
      </c>
      <c r="J237" s="1" t="s">
        <v>21</v>
      </c>
      <c r="K237">
        <v>10</v>
      </c>
      <c r="L237">
        <v>16</v>
      </c>
      <c r="M237" s="1" t="s">
        <v>22</v>
      </c>
      <c r="N237">
        <v>20590.22</v>
      </c>
      <c r="O237" s="1" t="s">
        <v>32</v>
      </c>
    </row>
    <row r="238" spans="1:15">
      <c r="A238" s="1" t="s">
        <v>314</v>
      </c>
      <c r="B238" s="1" t="s">
        <v>117</v>
      </c>
      <c r="C238" s="1" t="s">
        <v>93</v>
      </c>
      <c r="D238" s="1" t="s">
        <v>94</v>
      </c>
      <c r="E238" s="2">
        <v>46059</v>
      </c>
      <c r="F238" s="2">
        <v>46061</v>
      </c>
      <c r="G238" s="2">
        <v>46064</v>
      </c>
      <c r="H238" s="1" t="s">
        <v>49</v>
      </c>
      <c r="I238" s="1" t="s">
        <v>41</v>
      </c>
      <c r="J238" s="1" t="s">
        <v>30</v>
      </c>
      <c r="K238">
        <v>2</v>
      </c>
      <c r="L238">
        <v>5</v>
      </c>
      <c r="M238" s="1" t="s">
        <v>22</v>
      </c>
      <c r="N238">
        <v>21365.09</v>
      </c>
      <c r="O238" s="1" t="s">
        <v>95</v>
      </c>
    </row>
    <row r="239" spans="1:15">
      <c r="A239" s="1" t="s">
        <v>315</v>
      </c>
      <c r="B239" s="1" t="s">
        <v>64</v>
      </c>
      <c r="C239" s="1" t="s">
        <v>65</v>
      </c>
      <c r="D239" s="1" t="s">
        <v>66</v>
      </c>
      <c r="E239" s="2">
        <v>46021</v>
      </c>
      <c r="F239" s="2">
        <v>46031</v>
      </c>
      <c r="G239" s="2"/>
      <c r="H239" s="1" t="s">
        <v>19</v>
      </c>
      <c r="I239" s="1" t="s">
        <v>20</v>
      </c>
      <c r="J239" s="1" t="s">
        <v>53</v>
      </c>
      <c r="K239">
        <v>10</v>
      </c>
      <c r="M239" s="1" t="s">
        <v>54</v>
      </c>
      <c r="N239">
        <v>10252.290000000001</v>
      </c>
      <c r="O239" s="1" t="s">
        <v>32</v>
      </c>
    </row>
    <row r="240" spans="1:15">
      <c r="A240" s="1" t="s">
        <v>316</v>
      </c>
      <c r="B240" s="1" t="s">
        <v>71</v>
      </c>
      <c r="C240" s="1" t="s">
        <v>72</v>
      </c>
      <c r="D240" s="1" t="s">
        <v>73</v>
      </c>
      <c r="E240" s="2">
        <v>46018</v>
      </c>
      <c r="F240" s="2">
        <v>46033</v>
      </c>
      <c r="G240" s="2">
        <v>46038</v>
      </c>
      <c r="H240" s="1" t="s">
        <v>19</v>
      </c>
      <c r="I240" s="1" t="s">
        <v>29</v>
      </c>
      <c r="J240" s="1" t="s">
        <v>30</v>
      </c>
      <c r="K240">
        <v>15</v>
      </c>
      <c r="L240">
        <v>20</v>
      </c>
      <c r="M240" s="1" t="s">
        <v>22</v>
      </c>
      <c r="N240">
        <v>19716.490000000002</v>
      </c>
      <c r="O240" s="1" t="s">
        <v>39</v>
      </c>
    </row>
    <row r="241" spans="1:15">
      <c r="A241" s="1" t="s">
        <v>317</v>
      </c>
      <c r="B241" s="1" t="s">
        <v>83</v>
      </c>
      <c r="C241" s="1" t="s">
        <v>17</v>
      </c>
      <c r="D241" s="1" t="s">
        <v>18</v>
      </c>
      <c r="E241" s="2">
        <v>45838</v>
      </c>
      <c r="F241" s="2">
        <v>45853</v>
      </c>
      <c r="G241" s="2"/>
      <c r="H241" s="1" t="s">
        <v>19</v>
      </c>
      <c r="I241" s="1" t="s">
        <v>29</v>
      </c>
      <c r="J241" s="1" t="s">
        <v>50</v>
      </c>
      <c r="K241">
        <v>15</v>
      </c>
      <c r="M241" s="1" t="s">
        <v>51</v>
      </c>
      <c r="N241">
        <v>6922.48</v>
      </c>
      <c r="O241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30E0-8BF3-46B6-A2E2-EEAB053699DB}">
  <dimension ref="A1:J21"/>
  <sheetViews>
    <sheetView workbookViewId="0">
      <selection activeCell="A2" sqref="A2"/>
    </sheetView>
  </sheetViews>
  <sheetFormatPr defaultRowHeight="13.8"/>
  <cols>
    <col min="1" max="1" width="12.69921875" bestFit="1" customWidth="1"/>
    <col min="2" max="2" width="15.19921875" bestFit="1" customWidth="1"/>
    <col min="3" max="3" width="14.3984375" bestFit="1" customWidth="1"/>
    <col min="4" max="4" width="35.09765625" bestFit="1" customWidth="1"/>
    <col min="5" max="5" width="12.296875" bestFit="1" customWidth="1"/>
    <col min="6" max="6" width="10.3984375" bestFit="1" customWidth="1"/>
    <col min="7" max="7" width="20.5" bestFit="1" customWidth="1"/>
    <col min="8" max="8" width="19.59765625" bestFit="1" customWidth="1"/>
    <col min="9" max="9" width="20.5" bestFit="1" customWidth="1"/>
    <col min="10" max="10" width="12" bestFit="1" customWidth="1"/>
  </cols>
  <sheetData>
    <row r="1" spans="1:10">
      <c r="A1" t="s">
        <v>1</v>
      </c>
      <c r="B1" t="s">
        <v>2</v>
      </c>
      <c r="C1" t="s">
        <v>3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14</v>
      </c>
    </row>
    <row r="2" spans="1:10">
      <c r="A2" s="1" t="s">
        <v>68</v>
      </c>
      <c r="B2" s="1" t="s">
        <v>58</v>
      </c>
      <c r="C2" s="1" t="s">
        <v>59</v>
      </c>
      <c r="D2" s="1" t="s">
        <v>324</v>
      </c>
      <c r="E2" s="2">
        <v>45747</v>
      </c>
      <c r="F2" s="2">
        <v>46827</v>
      </c>
      <c r="G2">
        <v>119389.52</v>
      </c>
      <c r="H2" s="1" t="s">
        <v>325</v>
      </c>
      <c r="I2" s="1" t="s">
        <v>326</v>
      </c>
      <c r="J2" s="1" t="s">
        <v>32</v>
      </c>
    </row>
    <row r="3" spans="1:10">
      <c r="A3" s="1" t="s">
        <v>71</v>
      </c>
      <c r="B3" s="1" t="s">
        <v>72</v>
      </c>
      <c r="C3" s="1" t="s">
        <v>73</v>
      </c>
      <c r="D3" s="1" t="s">
        <v>327</v>
      </c>
      <c r="E3" s="2">
        <v>45719</v>
      </c>
      <c r="F3" s="2">
        <v>46259</v>
      </c>
      <c r="G3">
        <v>690382.44</v>
      </c>
      <c r="H3" s="1" t="s">
        <v>325</v>
      </c>
      <c r="I3" s="1" t="s">
        <v>328</v>
      </c>
      <c r="J3" s="1" t="s">
        <v>39</v>
      </c>
    </row>
    <row r="4" spans="1:10">
      <c r="A4" s="1" t="s">
        <v>16</v>
      </c>
      <c r="B4" s="1" t="s">
        <v>17</v>
      </c>
      <c r="C4" s="1" t="s">
        <v>18</v>
      </c>
      <c r="D4" s="1" t="s">
        <v>324</v>
      </c>
      <c r="E4" s="2">
        <v>45310</v>
      </c>
      <c r="F4" s="2">
        <v>45850</v>
      </c>
      <c r="G4">
        <v>745553.1</v>
      </c>
      <c r="H4" s="1" t="s">
        <v>329</v>
      </c>
      <c r="I4" s="1" t="s">
        <v>330</v>
      </c>
      <c r="J4" s="1" t="s">
        <v>23</v>
      </c>
    </row>
    <row r="5" spans="1:10">
      <c r="A5" s="1" t="s">
        <v>171</v>
      </c>
      <c r="B5" s="1" t="s">
        <v>77</v>
      </c>
      <c r="C5" s="1" t="s">
        <v>78</v>
      </c>
      <c r="D5" s="1" t="s">
        <v>331</v>
      </c>
      <c r="E5" s="2">
        <v>45799</v>
      </c>
      <c r="F5" s="2">
        <v>46879</v>
      </c>
      <c r="G5">
        <v>474286.45</v>
      </c>
      <c r="H5" s="1" t="s">
        <v>325</v>
      </c>
      <c r="I5" s="1" t="s">
        <v>332</v>
      </c>
      <c r="J5" s="1" t="s">
        <v>23</v>
      </c>
    </row>
    <row r="6" spans="1:10">
      <c r="A6" s="1" t="s">
        <v>112</v>
      </c>
      <c r="B6" s="1" t="s">
        <v>17</v>
      </c>
      <c r="C6" s="1" t="s">
        <v>18</v>
      </c>
      <c r="D6" s="1" t="s">
        <v>324</v>
      </c>
      <c r="E6" s="2">
        <v>45828</v>
      </c>
      <c r="F6" s="2">
        <v>46908</v>
      </c>
      <c r="G6">
        <v>790802.84</v>
      </c>
      <c r="H6" s="1" t="s">
        <v>333</v>
      </c>
      <c r="I6" s="1" t="s">
        <v>328</v>
      </c>
      <c r="J6" s="1" t="s">
        <v>95</v>
      </c>
    </row>
    <row r="7" spans="1:10">
      <c r="A7" s="1" t="s">
        <v>105</v>
      </c>
      <c r="B7" s="1" t="s">
        <v>106</v>
      </c>
      <c r="C7" s="1" t="s">
        <v>107</v>
      </c>
      <c r="D7" s="1" t="s">
        <v>324</v>
      </c>
      <c r="E7" s="2">
        <v>45671</v>
      </c>
      <c r="F7" s="2">
        <v>46391</v>
      </c>
      <c r="G7">
        <v>847540.11</v>
      </c>
      <c r="H7" s="1" t="s">
        <v>325</v>
      </c>
      <c r="I7" s="1" t="s">
        <v>330</v>
      </c>
      <c r="J7" s="1" t="s">
        <v>32</v>
      </c>
    </row>
    <row r="8" spans="1:10">
      <c r="A8" s="1" t="s">
        <v>46</v>
      </c>
      <c r="B8" s="1" t="s">
        <v>47</v>
      </c>
      <c r="C8" s="1" t="s">
        <v>48</v>
      </c>
      <c r="D8" s="1" t="s">
        <v>334</v>
      </c>
      <c r="E8" s="2">
        <v>45622</v>
      </c>
      <c r="F8" s="2">
        <v>46342</v>
      </c>
      <c r="G8">
        <v>330545.5</v>
      </c>
      <c r="H8" s="1" t="s">
        <v>325</v>
      </c>
      <c r="I8" s="1" t="s">
        <v>326</v>
      </c>
      <c r="J8" s="1" t="s">
        <v>39</v>
      </c>
    </row>
    <row r="9" spans="1:10">
      <c r="A9" s="1" t="s">
        <v>115</v>
      </c>
      <c r="B9" s="1" t="s">
        <v>26</v>
      </c>
      <c r="C9" s="1" t="s">
        <v>27</v>
      </c>
      <c r="D9" s="1" t="s">
        <v>324</v>
      </c>
      <c r="E9" s="2">
        <v>45323</v>
      </c>
      <c r="F9" s="2">
        <v>46043</v>
      </c>
      <c r="G9">
        <v>593300.15</v>
      </c>
      <c r="H9" s="1" t="s">
        <v>329</v>
      </c>
      <c r="I9" s="1" t="s">
        <v>328</v>
      </c>
      <c r="J9" s="1" t="s">
        <v>95</v>
      </c>
    </row>
    <row r="10" spans="1:10">
      <c r="A10" s="1" t="s">
        <v>43</v>
      </c>
      <c r="B10" s="1" t="s">
        <v>35</v>
      </c>
      <c r="C10" s="1" t="s">
        <v>36</v>
      </c>
      <c r="D10" s="1" t="s">
        <v>324</v>
      </c>
      <c r="E10" s="2">
        <v>45544</v>
      </c>
      <c r="F10" s="2">
        <v>45904</v>
      </c>
      <c r="G10">
        <v>506535.08</v>
      </c>
      <c r="H10" s="1" t="s">
        <v>329</v>
      </c>
      <c r="I10" s="1" t="s">
        <v>332</v>
      </c>
      <c r="J10" s="1" t="s">
        <v>39</v>
      </c>
    </row>
    <row r="11" spans="1:10">
      <c r="A11" s="1" t="s">
        <v>64</v>
      </c>
      <c r="B11" s="1" t="s">
        <v>65</v>
      </c>
      <c r="C11" s="1" t="s">
        <v>66</v>
      </c>
      <c r="D11" s="1" t="s">
        <v>334</v>
      </c>
      <c r="E11" s="2">
        <v>45417</v>
      </c>
      <c r="F11" s="2">
        <v>45957</v>
      </c>
      <c r="G11">
        <v>138767.38</v>
      </c>
      <c r="H11" s="1" t="s">
        <v>329</v>
      </c>
      <c r="I11" s="1" t="s">
        <v>326</v>
      </c>
      <c r="J11" s="1" t="s">
        <v>32</v>
      </c>
    </row>
    <row r="12" spans="1:10">
      <c r="A12" s="1" t="s">
        <v>83</v>
      </c>
      <c r="B12" s="1" t="s">
        <v>17</v>
      </c>
      <c r="C12" s="1" t="s">
        <v>18</v>
      </c>
      <c r="D12" s="1" t="s">
        <v>334</v>
      </c>
      <c r="E12" s="2">
        <v>45448</v>
      </c>
      <c r="F12" s="2">
        <v>46528</v>
      </c>
      <c r="G12">
        <v>569382.56999999995</v>
      </c>
      <c r="H12" s="1" t="s">
        <v>325</v>
      </c>
      <c r="I12" s="1" t="s">
        <v>328</v>
      </c>
      <c r="J12" s="1" t="s">
        <v>23</v>
      </c>
    </row>
    <row r="13" spans="1:10">
      <c r="A13" s="1" t="s">
        <v>25</v>
      </c>
      <c r="B13" s="1" t="s">
        <v>26</v>
      </c>
      <c r="C13" s="1" t="s">
        <v>27</v>
      </c>
      <c r="D13" s="1" t="s">
        <v>327</v>
      </c>
      <c r="E13" s="2">
        <v>45681</v>
      </c>
      <c r="F13" s="2">
        <v>46581</v>
      </c>
      <c r="G13">
        <v>406462.71999999997</v>
      </c>
      <c r="H13" s="1" t="s">
        <v>325</v>
      </c>
      <c r="I13" s="1" t="s">
        <v>326</v>
      </c>
      <c r="J13" s="1" t="s">
        <v>32</v>
      </c>
    </row>
    <row r="14" spans="1:10">
      <c r="A14" s="1" t="s">
        <v>76</v>
      </c>
      <c r="B14" s="1" t="s">
        <v>77</v>
      </c>
      <c r="C14" s="1" t="s">
        <v>78</v>
      </c>
      <c r="D14" s="1" t="s">
        <v>331</v>
      </c>
      <c r="E14" s="2">
        <v>45490</v>
      </c>
      <c r="F14" s="2">
        <v>46030</v>
      </c>
      <c r="G14">
        <v>185576.58</v>
      </c>
      <c r="H14" s="1" t="s">
        <v>329</v>
      </c>
      <c r="I14" s="1" t="s">
        <v>335</v>
      </c>
      <c r="J14" s="1" t="s">
        <v>79</v>
      </c>
    </row>
    <row r="15" spans="1:10">
      <c r="A15" s="1" t="s">
        <v>57</v>
      </c>
      <c r="B15" s="1" t="s">
        <v>58</v>
      </c>
      <c r="C15" s="1" t="s">
        <v>59</v>
      </c>
      <c r="D15" s="1" t="s">
        <v>331</v>
      </c>
      <c r="E15" s="2">
        <v>45301</v>
      </c>
      <c r="F15" s="2">
        <v>46021</v>
      </c>
      <c r="G15">
        <v>430738.88</v>
      </c>
      <c r="H15" s="1" t="s">
        <v>329</v>
      </c>
      <c r="I15" s="1" t="s">
        <v>326</v>
      </c>
      <c r="J15" s="1" t="s">
        <v>39</v>
      </c>
    </row>
    <row r="16" spans="1:10">
      <c r="A16" s="1" t="s">
        <v>34</v>
      </c>
      <c r="B16" s="1" t="s">
        <v>35</v>
      </c>
      <c r="C16" s="1" t="s">
        <v>36</v>
      </c>
      <c r="D16" s="1" t="s">
        <v>336</v>
      </c>
      <c r="E16" s="2">
        <v>45318</v>
      </c>
      <c r="F16" s="2">
        <v>46218</v>
      </c>
      <c r="G16">
        <v>598037.12</v>
      </c>
      <c r="H16" s="1" t="s">
        <v>325</v>
      </c>
      <c r="I16" s="1" t="s">
        <v>330</v>
      </c>
      <c r="J16" s="1" t="s">
        <v>39</v>
      </c>
    </row>
    <row r="17" spans="1:10">
      <c r="A17" s="1" t="s">
        <v>86</v>
      </c>
      <c r="B17" s="1" t="s">
        <v>47</v>
      </c>
      <c r="C17" s="1" t="s">
        <v>48</v>
      </c>
      <c r="D17" s="1" t="s">
        <v>324</v>
      </c>
      <c r="E17" s="2">
        <v>45826</v>
      </c>
      <c r="F17" s="2">
        <v>46366</v>
      </c>
      <c r="G17">
        <v>175901.84</v>
      </c>
      <c r="H17" s="1" t="s">
        <v>325</v>
      </c>
      <c r="I17" s="1" t="s">
        <v>330</v>
      </c>
      <c r="J17" s="1" t="s">
        <v>79</v>
      </c>
    </row>
    <row r="18" spans="1:10">
      <c r="A18" s="1" t="s">
        <v>97</v>
      </c>
      <c r="B18" s="1" t="s">
        <v>58</v>
      </c>
      <c r="C18" s="1" t="s">
        <v>59</v>
      </c>
      <c r="D18" s="1" t="s">
        <v>327</v>
      </c>
      <c r="E18" s="2">
        <v>45537</v>
      </c>
      <c r="F18" s="2">
        <v>46437</v>
      </c>
      <c r="G18">
        <v>618141.43999999994</v>
      </c>
      <c r="H18" s="1" t="s">
        <v>325</v>
      </c>
      <c r="I18" s="1" t="s">
        <v>332</v>
      </c>
      <c r="J18" s="1" t="s">
        <v>39</v>
      </c>
    </row>
    <row r="19" spans="1:10">
      <c r="A19" s="1" t="s">
        <v>117</v>
      </c>
      <c r="B19" s="1" t="s">
        <v>93</v>
      </c>
      <c r="C19" s="1" t="s">
        <v>94</v>
      </c>
      <c r="D19" s="1" t="s">
        <v>336</v>
      </c>
      <c r="E19" s="2">
        <v>45654</v>
      </c>
      <c r="F19" s="2">
        <v>46734</v>
      </c>
      <c r="G19">
        <v>441350.83</v>
      </c>
      <c r="H19" s="1" t="s">
        <v>325</v>
      </c>
      <c r="I19" s="1" t="s">
        <v>330</v>
      </c>
      <c r="J19" s="1" t="s">
        <v>95</v>
      </c>
    </row>
    <row r="20" spans="1:10">
      <c r="A20" s="1" t="s">
        <v>92</v>
      </c>
      <c r="B20" s="1" t="s">
        <v>93</v>
      </c>
      <c r="C20" s="1" t="s">
        <v>94</v>
      </c>
      <c r="D20" s="1" t="s">
        <v>331</v>
      </c>
      <c r="E20" s="2">
        <v>45636</v>
      </c>
      <c r="F20" s="2">
        <v>46716</v>
      </c>
      <c r="G20">
        <v>796896.77</v>
      </c>
      <c r="H20" s="1" t="s">
        <v>325</v>
      </c>
      <c r="I20" s="1" t="s">
        <v>328</v>
      </c>
      <c r="J20" s="1" t="s">
        <v>95</v>
      </c>
    </row>
    <row r="21" spans="1:10">
      <c r="A21" s="1" t="s">
        <v>100</v>
      </c>
      <c r="B21" s="1" t="s">
        <v>47</v>
      </c>
      <c r="C21" s="1" t="s">
        <v>48</v>
      </c>
      <c r="D21" s="1" t="s">
        <v>334</v>
      </c>
      <c r="E21" s="2">
        <v>45660</v>
      </c>
      <c r="F21" s="2">
        <v>46380</v>
      </c>
      <c r="G21">
        <v>634024.80000000005</v>
      </c>
      <c r="H21" s="1" t="s">
        <v>325</v>
      </c>
      <c r="I21" s="1" t="s">
        <v>328</v>
      </c>
      <c r="J21" s="1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C0BB-D9A7-4AC3-B058-94AB9311D116}">
  <dimension ref="A1:F11"/>
  <sheetViews>
    <sheetView workbookViewId="0">
      <selection activeCell="C11" sqref="C11"/>
    </sheetView>
  </sheetViews>
  <sheetFormatPr defaultRowHeight="13.8"/>
  <cols>
    <col min="1" max="1" width="15.19921875" bestFit="1" customWidth="1"/>
    <col min="2" max="2" width="14.3984375" bestFit="1" customWidth="1"/>
    <col min="3" max="3" width="21.796875" bestFit="1" customWidth="1"/>
    <col min="4" max="4" width="4.59765625" bestFit="1" customWidth="1"/>
    <col min="5" max="5" width="18.8984375" bestFit="1" customWidth="1"/>
    <col min="6" max="6" width="11.09765625" bestFit="1" customWidth="1"/>
  </cols>
  <sheetData>
    <row r="1" spans="1:6">
      <c r="A1" t="s">
        <v>2</v>
      </c>
      <c r="B1" t="s">
        <v>3</v>
      </c>
      <c r="C1" t="s">
        <v>337</v>
      </c>
      <c r="D1" t="s">
        <v>338</v>
      </c>
      <c r="E1" t="s">
        <v>339</v>
      </c>
      <c r="F1" t="s">
        <v>340</v>
      </c>
    </row>
    <row r="2" spans="1:6">
      <c r="A2" s="1" t="s">
        <v>58</v>
      </c>
      <c r="B2" s="1" t="s">
        <v>59</v>
      </c>
      <c r="C2" s="1" t="s">
        <v>341</v>
      </c>
      <c r="D2" s="1" t="s">
        <v>342</v>
      </c>
      <c r="E2" s="1" t="s">
        <v>343</v>
      </c>
      <c r="F2">
        <v>4.7</v>
      </c>
    </row>
    <row r="3" spans="1:6">
      <c r="A3" s="1" t="s">
        <v>106</v>
      </c>
      <c r="B3" s="1" t="s">
        <v>107</v>
      </c>
      <c r="C3" s="1" t="s">
        <v>60</v>
      </c>
      <c r="D3" s="1" t="s">
        <v>344</v>
      </c>
      <c r="E3" s="1" t="s">
        <v>343</v>
      </c>
      <c r="F3">
        <v>4.3</v>
      </c>
    </row>
    <row r="4" spans="1:6">
      <c r="A4" s="1" t="s">
        <v>77</v>
      </c>
      <c r="B4" s="1" t="s">
        <v>78</v>
      </c>
      <c r="C4" s="1" t="s">
        <v>32</v>
      </c>
      <c r="D4" s="1" t="s">
        <v>342</v>
      </c>
      <c r="E4" s="1" t="s">
        <v>343</v>
      </c>
      <c r="F4">
        <v>4.8</v>
      </c>
    </row>
    <row r="5" spans="1:6">
      <c r="A5" s="1" t="s">
        <v>17</v>
      </c>
      <c r="B5" s="1" t="s">
        <v>18</v>
      </c>
      <c r="C5" s="1" t="s">
        <v>345</v>
      </c>
      <c r="D5" s="1" t="s">
        <v>342</v>
      </c>
      <c r="E5" s="1" t="s">
        <v>343</v>
      </c>
      <c r="F5">
        <v>4.0999999999999996</v>
      </c>
    </row>
    <row r="6" spans="1:6">
      <c r="A6" s="1" t="s">
        <v>65</v>
      </c>
      <c r="B6" s="1" t="s">
        <v>66</v>
      </c>
      <c r="C6" s="1" t="s">
        <v>346</v>
      </c>
      <c r="D6" s="1" t="s">
        <v>347</v>
      </c>
      <c r="E6" s="1" t="s">
        <v>343</v>
      </c>
      <c r="F6">
        <v>4</v>
      </c>
    </row>
    <row r="7" spans="1:6">
      <c r="A7" s="1" t="s">
        <v>26</v>
      </c>
      <c r="B7" s="1" t="s">
        <v>27</v>
      </c>
      <c r="C7" s="1" t="s">
        <v>348</v>
      </c>
      <c r="D7" s="1" t="s">
        <v>349</v>
      </c>
      <c r="E7" s="1" t="s">
        <v>343</v>
      </c>
      <c r="F7">
        <v>3.9</v>
      </c>
    </row>
    <row r="8" spans="1:6">
      <c r="A8" s="1" t="s">
        <v>35</v>
      </c>
      <c r="B8" s="1" t="s">
        <v>36</v>
      </c>
      <c r="C8" s="1" t="s">
        <v>32</v>
      </c>
      <c r="D8" s="1" t="s">
        <v>350</v>
      </c>
      <c r="E8" s="1" t="s">
        <v>343</v>
      </c>
      <c r="F8">
        <v>4.5999999999999996</v>
      </c>
    </row>
    <row r="9" spans="1:6">
      <c r="A9" s="1" t="s">
        <v>47</v>
      </c>
      <c r="B9" s="1" t="s">
        <v>48</v>
      </c>
      <c r="C9" s="1" t="s">
        <v>341</v>
      </c>
      <c r="D9" s="1" t="s">
        <v>342</v>
      </c>
      <c r="E9" s="1" t="s">
        <v>351</v>
      </c>
      <c r="F9">
        <v>3.7</v>
      </c>
    </row>
    <row r="10" spans="1:6">
      <c r="A10" s="1" t="s">
        <v>93</v>
      </c>
      <c r="B10" s="1" t="s">
        <v>94</v>
      </c>
      <c r="C10" s="1" t="s">
        <v>60</v>
      </c>
      <c r="D10" s="1" t="s">
        <v>344</v>
      </c>
      <c r="E10" s="1" t="s">
        <v>343</v>
      </c>
      <c r="F10">
        <v>4.2</v>
      </c>
    </row>
    <row r="11" spans="1:6">
      <c r="A11" s="1" t="s">
        <v>72</v>
      </c>
      <c r="B11" s="1" t="s">
        <v>73</v>
      </c>
      <c r="C11" s="1" t="s">
        <v>352</v>
      </c>
      <c r="D11" s="1" t="s">
        <v>347</v>
      </c>
      <c r="E11" s="1" t="s">
        <v>343</v>
      </c>
      <c r="F11">
        <v>4.5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4609-EE30-4C41-AB14-EEC5FE4581CF}">
  <dimension ref="A1:I121"/>
  <sheetViews>
    <sheetView workbookViewId="0">
      <selection activeCell="K11" sqref="K11"/>
    </sheetView>
  </sheetViews>
  <sheetFormatPr defaultRowHeight="13.8"/>
  <cols>
    <col min="1" max="1" width="15.3984375" bestFit="1" customWidth="1"/>
    <col min="2" max="2" width="12.69921875" bestFit="1" customWidth="1"/>
    <col min="3" max="3" width="15.19921875" bestFit="1" customWidth="1"/>
    <col min="4" max="4" width="14.3984375" bestFit="1" customWidth="1"/>
    <col min="5" max="5" width="14.19921875" bestFit="1" customWidth="1"/>
    <col min="6" max="6" width="17.5" bestFit="1" customWidth="1"/>
    <col min="7" max="7" width="12.59765625" bestFit="1" customWidth="1"/>
    <col min="8" max="8" width="19.19921875" bestFit="1" customWidth="1"/>
    <col min="9" max="9" width="14.59765625" bestFit="1" customWidth="1"/>
  </cols>
  <sheetData>
    <row r="1" spans="1:9">
      <c r="A1" t="s">
        <v>353</v>
      </c>
      <c r="B1" t="s">
        <v>1</v>
      </c>
      <c r="C1" t="s">
        <v>2</v>
      </c>
      <c r="D1" t="s">
        <v>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</row>
    <row r="2" spans="1:9">
      <c r="A2" s="1" t="s">
        <v>359</v>
      </c>
      <c r="B2" s="1" t="s">
        <v>97</v>
      </c>
      <c r="C2" s="1" t="s">
        <v>58</v>
      </c>
      <c r="D2" s="1" t="s">
        <v>59</v>
      </c>
      <c r="E2" s="2">
        <v>45839</v>
      </c>
      <c r="F2" s="2">
        <v>45857</v>
      </c>
      <c r="G2">
        <v>18359.740000000002</v>
      </c>
      <c r="H2" s="1" t="s">
        <v>360</v>
      </c>
      <c r="I2" s="1" t="s">
        <v>60</v>
      </c>
    </row>
    <row r="3" spans="1:9">
      <c r="A3" s="1" t="s">
        <v>361</v>
      </c>
      <c r="B3" s="1" t="s">
        <v>86</v>
      </c>
      <c r="C3" s="1" t="s">
        <v>47</v>
      </c>
      <c r="D3" s="1" t="s">
        <v>48</v>
      </c>
      <c r="E3" s="2">
        <v>45901</v>
      </c>
      <c r="F3" s="2">
        <v>46038</v>
      </c>
      <c r="G3">
        <v>41683.67</v>
      </c>
      <c r="H3" s="1" t="s">
        <v>360</v>
      </c>
      <c r="I3" s="1" t="s">
        <v>362</v>
      </c>
    </row>
    <row r="4" spans="1:9">
      <c r="A4" s="1" t="s">
        <v>363</v>
      </c>
      <c r="B4" s="1" t="s">
        <v>105</v>
      </c>
      <c r="C4" s="1" t="s">
        <v>106</v>
      </c>
      <c r="D4" s="1" t="s">
        <v>107</v>
      </c>
      <c r="E4" s="2">
        <v>46357</v>
      </c>
      <c r="F4" s="2">
        <v>46032</v>
      </c>
      <c r="G4">
        <v>23220.18</v>
      </c>
      <c r="H4" s="1" t="s">
        <v>360</v>
      </c>
      <c r="I4" s="1" t="s">
        <v>364</v>
      </c>
    </row>
    <row r="5" spans="1:9">
      <c r="A5" s="1" t="s">
        <v>365</v>
      </c>
      <c r="B5" s="1" t="s">
        <v>105</v>
      </c>
      <c r="C5" s="1" t="s">
        <v>106</v>
      </c>
      <c r="D5" s="1" t="s">
        <v>107</v>
      </c>
      <c r="E5" s="2">
        <v>46082</v>
      </c>
      <c r="F5" s="2">
        <v>45902</v>
      </c>
      <c r="G5">
        <v>33811.230000000003</v>
      </c>
      <c r="H5" s="1" t="s">
        <v>360</v>
      </c>
      <c r="I5" s="1" t="s">
        <v>60</v>
      </c>
    </row>
    <row r="6" spans="1:9">
      <c r="A6" s="1" t="s">
        <v>366</v>
      </c>
      <c r="B6" s="1" t="s">
        <v>117</v>
      </c>
      <c r="C6" s="1" t="s">
        <v>93</v>
      </c>
      <c r="D6" s="1" t="s">
        <v>94</v>
      </c>
      <c r="E6" s="2">
        <v>46296</v>
      </c>
      <c r="F6" s="2"/>
      <c r="G6">
        <v>3103.55</v>
      </c>
      <c r="H6" s="1" t="s">
        <v>367</v>
      </c>
      <c r="I6" s="1" t="s">
        <v>368</v>
      </c>
    </row>
    <row r="7" spans="1:9">
      <c r="A7" s="1" t="s">
        <v>369</v>
      </c>
      <c r="B7" s="1" t="s">
        <v>34</v>
      </c>
      <c r="C7" s="1" t="s">
        <v>35</v>
      </c>
      <c r="D7" s="1" t="s">
        <v>36</v>
      </c>
      <c r="E7" s="2">
        <v>46235</v>
      </c>
      <c r="F7" s="2">
        <v>45709</v>
      </c>
      <c r="G7">
        <v>15559.68</v>
      </c>
      <c r="H7" s="1" t="s">
        <v>360</v>
      </c>
      <c r="I7" s="1" t="s">
        <v>362</v>
      </c>
    </row>
    <row r="8" spans="1:9">
      <c r="A8" s="1" t="s">
        <v>370</v>
      </c>
      <c r="B8" s="1" t="s">
        <v>64</v>
      </c>
      <c r="C8" s="1" t="s">
        <v>65</v>
      </c>
      <c r="D8" s="1" t="s">
        <v>66</v>
      </c>
      <c r="E8" s="2">
        <v>46357</v>
      </c>
      <c r="F8" s="2"/>
      <c r="G8">
        <v>30672.43</v>
      </c>
      <c r="H8" s="1" t="s">
        <v>367</v>
      </c>
      <c r="I8" s="1" t="s">
        <v>368</v>
      </c>
    </row>
    <row r="9" spans="1:9">
      <c r="A9" s="1" t="s">
        <v>371</v>
      </c>
      <c r="B9" s="1" t="s">
        <v>97</v>
      </c>
      <c r="C9" s="1" t="s">
        <v>58</v>
      </c>
      <c r="D9" s="1" t="s">
        <v>59</v>
      </c>
      <c r="E9" s="2">
        <v>46266</v>
      </c>
      <c r="F9" s="2"/>
      <c r="G9">
        <v>49168.69</v>
      </c>
      <c r="H9" s="1" t="s">
        <v>367</v>
      </c>
      <c r="I9" s="1" t="s">
        <v>362</v>
      </c>
    </row>
    <row r="10" spans="1:9">
      <c r="A10" s="1" t="s">
        <v>372</v>
      </c>
      <c r="B10" s="1" t="s">
        <v>57</v>
      </c>
      <c r="C10" s="1" t="s">
        <v>58</v>
      </c>
      <c r="D10" s="1" t="s">
        <v>59</v>
      </c>
      <c r="E10" s="2">
        <v>46296</v>
      </c>
      <c r="F10" s="2">
        <v>46184</v>
      </c>
      <c r="G10">
        <v>42981.02</v>
      </c>
      <c r="H10" s="1" t="s">
        <v>360</v>
      </c>
      <c r="I10" s="1" t="s">
        <v>37</v>
      </c>
    </row>
    <row r="11" spans="1:9">
      <c r="A11" s="1" t="s">
        <v>373</v>
      </c>
      <c r="B11" s="1" t="s">
        <v>100</v>
      </c>
      <c r="C11" s="1" t="s">
        <v>47</v>
      </c>
      <c r="D11" s="1" t="s">
        <v>48</v>
      </c>
      <c r="E11" s="2">
        <v>46327</v>
      </c>
      <c r="F11" s="2">
        <v>46185</v>
      </c>
      <c r="G11">
        <v>38061.96</v>
      </c>
      <c r="H11" s="1" t="s">
        <v>360</v>
      </c>
      <c r="I11" s="1" t="s">
        <v>362</v>
      </c>
    </row>
    <row r="12" spans="1:9">
      <c r="A12" s="1" t="s">
        <v>374</v>
      </c>
      <c r="B12" s="1" t="s">
        <v>83</v>
      </c>
      <c r="C12" s="1" t="s">
        <v>17</v>
      </c>
      <c r="D12" s="1" t="s">
        <v>18</v>
      </c>
      <c r="E12" s="2">
        <v>46082</v>
      </c>
      <c r="F12" s="2">
        <v>45838</v>
      </c>
      <c r="G12">
        <v>28611.72</v>
      </c>
      <c r="H12" s="1" t="s">
        <v>360</v>
      </c>
      <c r="I12" s="1" t="s">
        <v>60</v>
      </c>
    </row>
    <row r="13" spans="1:9">
      <c r="A13" s="1" t="s">
        <v>375</v>
      </c>
      <c r="B13" s="1" t="s">
        <v>86</v>
      </c>
      <c r="C13" s="1" t="s">
        <v>47</v>
      </c>
      <c r="D13" s="1" t="s">
        <v>48</v>
      </c>
      <c r="E13" s="2">
        <v>46023</v>
      </c>
      <c r="F13" s="2">
        <v>46192</v>
      </c>
      <c r="G13">
        <v>53902.95</v>
      </c>
      <c r="H13" s="1" t="s">
        <v>360</v>
      </c>
      <c r="I13" s="1" t="s">
        <v>362</v>
      </c>
    </row>
    <row r="14" spans="1:9">
      <c r="A14" s="1" t="s">
        <v>376</v>
      </c>
      <c r="B14" s="1" t="s">
        <v>92</v>
      </c>
      <c r="C14" s="1" t="s">
        <v>93</v>
      </c>
      <c r="D14" s="1" t="s">
        <v>94</v>
      </c>
      <c r="E14" s="2">
        <v>45901</v>
      </c>
      <c r="F14" s="2">
        <v>46008</v>
      </c>
      <c r="G14">
        <v>34802.519999999997</v>
      </c>
      <c r="H14" s="1" t="s">
        <v>360</v>
      </c>
      <c r="I14" s="1" t="s">
        <v>362</v>
      </c>
    </row>
    <row r="15" spans="1:9">
      <c r="A15" s="1" t="s">
        <v>377</v>
      </c>
      <c r="B15" s="1" t="s">
        <v>112</v>
      </c>
      <c r="C15" s="1" t="s">
        <v>17</v>
      </c>
      <c r="D15" s="1" t="s">
        <v>18</v>
      </c>
      <c r="E15" s="2">
        <v>46204</v>
      </c>
      <c r="F15" s="2">
        <v>45875</v>
      </c>
      <c r="G15">
        <v>3915.96</v>
      </c>
      <c r="H15" s="1" t="s">
        <v>360</v>
      </c>
      <c r="I15" s="1" t="s">
        <v>364</v>
      </c>
    </row>
    <row r="16" spans="1:9">
      <c r="A16" s="1" t="s">
        <v>378</v>
      </c>
      <c r="B16" s="1" t="s">
        <v>83</v>
      </c>
      <c r="C16" s="1" t="s">
        <v>17</v>
      </c>
      <c r="D16" s="1" t="s">
        <v>18</v>
      </c>
      <c r="E16" s="2">
        <v>46054</v>
      </c>
      <c r="F16" s="2">
        <v>45790</v>
      </c>
      <c r="G16">
        <v>27403.86</v>
      </c>
      <c r="H16" s="1" t="s">
        <v>360</v>
      </c>
      <c r="I16" s="1" t="s">
        <v>37</v>
      </c>
    </row>
    <row r="17" spans="1:9">
      <c r="A17" s="1" t="s">
        <v>379</v>
      </c>
      <c r="B17" s="1" t="s">
        <v>86</v>
      </c>
      <c r="C17" s="1" t="s">
        <v>47</v>
      </c>
      <c r="D17" s="1" t="s">
        <v>48</v>
      </c>
      <c r="E17" s="2">
        <v>46023</v>
      </c>
      <c r="F17" s="2"/>
      <c r="G17">
        <v>43473.19</v>
      </c>
      <c r="H17" s="1" t="s">
        <v>367</v>
      </c>
      <c r="I17" s="1" t="s">
        <v>60</v>
      </c>
    </row>
    <row r="18" spans="1:9">
      <c r="A18" s="1" t="s">
        <v>380</v>
      </c>
      <c r="B18" s="1" t="s">
        <v>112</v>
      </c>
      <c r="C18" s="1" t="s">
        <v>17</v>
      </c>
      <c r="D18" s="1" t="s">
        <v>18</v>
      </c>
      <c r="E18" s="2">
        <v>45870</v>
      </c>
      <c r="F18" s="2">
        <v>45981</v>
      </c>
      <c r="G18">
        <v>7396.78</v>
      </c>
      <c r="H18" s="1" t="s">
        <v>360</v>
      </c>
      <c r="I18" s="1" t="s">
        <v>368</v>
      </c>
    </row>
    <row r="19" spans="1:9">
      <c r="A19" s="1" t="s">
        <v>381</v>
      </c>
      <c r="B19" s="1" t="s">
        <v>46</v>
      </c>
      <c r="C19" s="1" t="s">
        <v>47</v>
      </c>
      <c r="D19" s="1" t="s">
        <v>48</v>
      </c>
      <c r="E19" s="2">
        <v>46082</v>
      </c>
      <c r="F19" s="2">
        <v>46188</v>
      </c>
      <c r="G19">
        <v>21313.91</v>
      </c>
      <c r="H19" s="1" t="s">
        <v>360</v>
      </c>
      <c r="I19" s="1" t="s">
        <v>364</v>
      </c>
    </row>
    <row r="20" spans="1:9">
      <c r="A20" s="1" t="s">
        <v>382</v>
      </c>
      <c r="B20" s="1" t="s">
        <v>68</v>
      </c>
      <c r="C20" s="1" t="s">
        <v>58</v>
      </c>
      <c r="D20" s="1" t="s">
        <v>59</v>
      </c>
      <c r="E20" s="2">
        <v>46082</v>
      </c>
      <c r="F20" s="2"/>
      <c r="G20">
        <v>27457.73</v>
      </c>
      <c r="H20" s="1" t="s">
        <v>367</v>
      </c>
      <c r="I20" s="1" t="s">
        <v>368</v>
      </c>
    </row>
    <row r="21" spans="1:9">
      <c r="A21" s="1" t="s">
        <v>383</v>
      </c>
      <c r="B21" s="1" t="s">
        <v>92</v>
      </c>
      <c r="C21" s="1" t="s">
        <v>93</v>
      </c>
      <c r="D21" s="1" t="s">
        <v>94</v>
      </c>
      <c r="E21" s="2">
        <v>45870</v>
      </c>
      <c r="F21" s="2">
        <v>46042</v>
      </c>
      <c r="G21">
        <v>17466.79</v>
      </c>
      <c r="H21" s="1" t="s">
        <v>360</v>
      </c>
      <c r="I21" s="1" t="s">
        <v>37</v>
      </c>
    </row>
    <row r="22" spans="1:9">
      <c r="A22" s="1" t="s">
        <v>384</v>
      </c>
      <c r="B22" s="1" t="s">
        <v>117</v>
      </c>
      <c r="C22" s="1" t="s">
        <v>93</v>
      </c>
      <c r="D22" s="1" t="s">
        <v>94</v>
      </c>
      <c r="E22" s="2">
        <v>45901</v>
      </c>
      <c r="F22" s="2">
        <v>45883</v>
      </c>
      <c r="G22">
        <v>57200.28</v>
      </c>
      <c r="H22" s="1" t="s">
        <v>360</v>
      </c>
      <c r="I22" s="1" t="s">
        <v>368</v>
      </c>
    </row>
    <row r="23" spans="1:9">
      <c r="A23" s="1" t="s">
        <v>385</v>
      </c>
      <c r="B23" s="1" t="s">
        <v>83</v>
      </c>
      <c r="C23" s="1" t="s">
        <v>17</v>
      </c>
      <c r="D23" s="1" t="s">
        <v>18</v>
      </c>
      <c r="E23" s="2">
        <v>46054</v>
      </c>
      <c r="F23" s="2"/>
      <c r="G23">
        <v>21313.94</v>
      </c>
      <c r="H23" s="1" t="s">
        <v>386</v>
      </c>
      <c r="I23" s="1" t="s">
        <v>364</v>
      </c>
    </row>
    <row r="24" spans="1:9">
      <c r="A24" s="1" t="s">
        <v>387</v>
      </c>
      <c r="B24" s="1" t="s">
        <v>105</v>
      </c>
      <c r="C24" s="1" t="s">
        <v>106</v>
      </c>
      <c r="D24" s="1" t="s">
        <v>107</v>
      </c>
      <c r="E24" s="2">
        <v>46082</v>
      </c>
      <c r="F24" s="2"/>
      <c r="G24">
        <v>18287.89</v>
      </c>
      <c r="H24" s="1" t="s">
        <v>367</v>
      </c>
      <c r="I24" s="1" t="s">
        <v>37</v>
      </c>
    </row>
    <row r="25" spans="1:9">
      <c r="A25" s="1" t="s">
        <v>388</v>
      </c>
      <c r="B25" s="1" t="s">
        <v>112</v>
      </c>
      <c r="C25" s="1" t="s">
        <v>17</v>
      </c>
      <c r="D25" s="1" t="s">
        <v>18</v>
      </c>
      <c r="E25" s="2">
        <v>45658</v>
      </c>
      <c r="F25" s="2"/>
      <c r="G25">
        <v>58931.61</v>
      </c>
      <c r="H25" s="1" t="s">
        <v>386</v>
      </c>
      <c r="I25" s="1" t="s">
        <v>60</v>
      </c>
    </row>
    <row r="26" spans="1:9">
      <c r="A26" s="1" t="s">
        <v>389</v>
      </c>
      <c r="B26" s="1" t="s">
        <v>112</v>
      </c>
      <c r="C26" s="1" t="s">
        <v>17</v>
      </c>
      <c r="D26" s="1" t="s">
        <v>18</v>
      </c>
      <c r="E26" s="2">
        <v>46235</v>
      </c>
      <c r="F26" s="2"/>
      <c r="G26">
        <v>32092.35</v>
      </c>
      <c r="H26" s="1" t="s">
        <v>386</v>
      </c>
      <c r="I26" s="1" t="s">
        <v>364</v>
      </c>
    </row>
    <row r="27" spans="1:9">
      <c r="A27" s="1" t="s">
        <v>390</v>
      </c>
      <c r="B27" s="1" t="s">
        <v>115</v>
      </c>
      <c r="C27" s="1" t="s">
        <v>26</v>
      </c>
      <c r="D27" s="1" t="s">
        <v>27</v>
      </c>
      <c r="E27" s="2">
        <v>45689</v>
      </c>
      <c r="F27" s="2"/>
      <c r="G27">
        <v>34643.629999999997</v>
      </c>
      <c r="H27" s="1" t="s">
        <v>367</v>
      </c>
      <c r="I27" s="1" t="s">
        <v>368</v>
      </c>
    </row>
    <row r="28" spans="1:9">
      <c r="A28" s="1" t="s">
        <v>391</v>
      </c>
      <c r="B28" s="1" t="s">
        <v>43</v>
      </c>
      <c r="C28" s="1" t="s">
        <v>35</v>
      </c>
      <c r="D28" s="1" t="s">
        <v>36</v>
      </c>
      <c r="E28" s="2">
        <v>46143</v>
      </c>
      <c r="F28" s="2"/>
      <c r="G28">
        <v>44404.480000000003</v>
      </c>
      <c r="H28" s="1" t="s">
        <v>367</v>
      </c>
      <c r="I28" s="1" t="s">
        <v>368</v>
      </c>
    </row>
    <row r="29" spans="1:9">
      <c r="A29" s="1" t="s">
        <v>392</v>
      </c>
      <c r="B29" s="1" t="s">
        <v>46</v>
      </c>
      <c r="C29" s="1" t="s">
        <v>47</v>
      </c>
      <c r="D29" s="1" t="s">
        <v>48</v>
      </c>
      <c r="E29" s="2">
        <v>46357</v>
      </c>
      <c r="F29" s="2"/>
      <c r="G29">
        <v>5336.78</v>
      </c>
      <c r="H29" s="1" t="s">
        <v>367</v>
      </c>
      <c r="I29" s="1" t="s">
        <v>364</v>
      </c>
    </row>
    <row r="30" spans="1:9">
      <c r="A30" s="1" t="s">
        <v>393</v>
      </c>
      <c r="B30" s="1" t="s">
        <v>105</v>
      </c>
      <c r="C30" s="1" t="s">
        <v>106</v>
      </c>
      <c r="D30" s="1" t="s">
        <v>107</v>
      </c>
      <c r="E30" s="2">
        <v>45931</v>
      </c>
      <c r="F30" s="2">
        <v>45753</v>
      </c>
      <c r="G30">
        <v>37830.800000000003</v>
      </c>
      <c r="H30" s="1" t="s">
        <v>360</v>
      </c>
      <c r="I30" s="1" t="s">
        <v>364</v>
      </c>
    </row>
    <row r="31" spans="1:9">
      <c r="A31" s="1" t="s">
        <v>394</v>
      </c>
      <c r="B31" s="1" t="s">
        <v>115</v>
      </c>
      <c r="C31" s="1" t="s">
        <v>26</v>
      </c>
      <c r="D31" s="1" t="s">
        <v>27</v>
      </c>
      <c r="E31" s="2">
        <v>46054</v>
      </c>
      <c r="F31" s="2"/>
      <c r="G31">
        <v>36288.6</v>
      </c>
      <c r="H31" s="1" t="s">
        <v>386</v>
      </c>
      <c r="I31" s="1" t="s">
        <v>368</v>
      </c>
    </row>
    <row r="32" spans="1:9">
      <c r="A32" s="1" t="s">
        <v>395</v>
      </c>
      <c r="B32" s="1" t="s">
        <v>83</v>
      </c>
      <c r="C32" s="1" t="s">
        <v>17</v>
      </c>
      <c r="D32" s="1" t="s">
        <v>18</v>
      </c>
      <c r="E32" s="2">
        <v>46296</v>
      </c>
      <c r="F32" s="2"/>
      <c r="G32">
        <v>15850.31</v>
      </c>
      <c r="H32" s="1" t="s">
        <v>367</v>
      </c>
      <c r="I32" s="1" t="s">
        <v>364</v>
      </c>
    </row>
    <row r="33" spans="1:9">
      <c r="A33" s="1" t="s">
        <v>396</v>
      </c>
      <c r="B33" s="1" t="s">
        <v>171</v>
      </c>
      <c r="C33" s="1" t="s">
        <v>77</v>
      </c>
      <c r="D33" s="1" t="s">
        <v>78</v>
      </c>
      <c r="E33" s="2">
        <v>45689</v>
      </c>
      <c r="F33" s="2"/>
      <c r="G33">
        <v>52324.639999999999</v>
      </c>
      <c r="H33" s="1" t="s">
        <v>386</v>
      </c>
      <c r="I33" s="1" t="s">
        <v>60</v>
      </c>
    </row>
    <row r="34" spans="1:9">
      <c r="A34" s="1" t="s">
        <v>397</v>
      </c>
      <c r="B34" s="1" t="s">
        <v>76</v>
      </c>
      <c r="C34" s="1" t="s">
        <v>77</v>
      </c>
      <c r="D34" s="1" t="s">
        <v>78</v>
      </c>
      <c r="E34" s="2">
        <v>45931</v>
      </c>
      <c r="F34" s="2">
        <v>45960</v>
      </c>
      <c r="G34">
        <v>37444.65</v>
      </c>
      <c r="H34" s="1" t="s">
        <v>360</v>
      </c>
      <c r="I34" s="1" t="s">
        <v>362</v>
      </c>
    </row>
    <row r="35" spans="1:9">
      <c r="A35" s="1" t="s">
        <v>398</v>
      </c>
      <c r="B35" s="1" t="s">
        <v>34</v>
      </c>
      <c r="C35" s="1" t="s">
        <v>35</v>
      </c>
      <c r="D35" s="1" t="s">
        <v>36</v>
      </c>
      <c r="E35" s="2">
        <v>46082</v>
      </c>
      <c r="F35" s="2">
        <v>46079</v>
      </c>
      <c r="G35">
        <v>58729.09</v>
      </c>
      <c r="H35" s="1" t="s">
        <v>360</v>
      </c>
      <c r="I35" s="1" t="s">
        <v>362</v>
      </c>
    </row>
    <row r="36" spans="1:9">
      <c r="A36" s="1" t="s">
        <v>399</v>
      </c>
      <c r="B36" s="1" t="s">
        <v>105</v>
      </c>
      <c r="C36" s="1" t="s">
        <v>106</v>
      </c>
      <c r="D36" s="1" t="s">
        <v>107</v>
      </c>
      <c r="E36" s="2">
        <v>46054</v>
      </c>
      <c r="F36" s="2">
        <v>45797</v>
      </c>
      <c r="G36">
        <v>8296.7800000000007</v>
      </c>
      <c r="H36" s="1" t="s">
        <v>360</v>
      </c>
      <c r="I36" s="1" t="s">
        <v>60</v>
      </c>
    </row>
    <row r="37" spans="1:9">
      <c r="A37" s="1" t="s">
        <v>400</v>
      </c>
      <c r="B37" s="1" t="s">
        <v>97</v>
      </c>
      <c r="C37" s="1" t="s">
        <v>58</v>
      </c>
      <c r="D37" s="1" t="s">
        <v>59</v>
      </c>
      <c r="E37" s="2">
        <v>46174</v>
      </c>
      <c r="F37" s="2">
        <v>46069</v>
      </c>
      <c r="G37">
        <v>59738.080000000002</v>
      </c>
      <c r="H37" s="1" t="s">
        <v>360</v>
      </c>
      <c r="I37" s="1" t="s">
        <v>37</v>
      </c>
    </row>
    <row r="38" spans="1:9">
      <c r="A38" s="1" t="s">
        <v>401</v>
      </c>
      <c r="B38" s="1" t="s">
        <v>46</v>
      </c>
      <c r="C38" s="1" t="s">
        <v>47</v>
      </c>
      <c r="D38" s="1" t="s">
        <v>48</v>
      </c>
      <c r="E38" s="2">
        <v>46113</v>
      </c>
      <c r="F38" s="2"/>
      <c r="G38">
        <v>43741.56</v>
      </c>
      <c r="H38" s="1" t="s">
        <v>367</v>
      </c>
      <c r="I38" s="1" t="s">
        <v>364</v>
      </c>
    </row>
    <row r="39" spans="1:9">
      <c r="A39" s="1" t="s">
        <v>402</v>
      </c>
      <c r="B39" s="1" t="s">
        <v>71</v>
      </c>
      <c r="C39" s="1" t="s">
        <v>72</v>
      </c>
      <c r="D39" s="1" t="s">
        <v>73</v>
      </c>
      <c r="E39" s="2">
        <v>45658</v>
      </c>
      <c r="F39" s="2">
        <v>45786</v>
      </c>
      <c r="G39">
        <v>10282.1</v>
      </c>
      <c r="H39" s="1" t="s">
        <v>360</v>
      </c>
      <c r="I39" s="1" t="s">
        <v>364</v>
      </c>
    </row>
    <row r="40" spans="1:9">
      <c r="A40" s="1" t="s">
        <v>403</v>
      </c>
      <c r="B40" s="1" t="s">
        <v>34</v>
      </c>
      <c r="C40" s="1" t="s">
        <v>35</v>
      </c>
      <c r="D40" s="1" t="s">
        <v>36</v>
      </c>
      <c r="E40" s="2">
        <v>45931</v>
      </c>
      <c r="F40" s="2">
        <v>46129</v>
      </c>
      <c r="G40">
        <v>43841.64</v>
      </c>
      <c r="H40" s="1" t="s">
        <v>360</v>
      </c>
      <c r="I40" s="1" t="s">
        <v>368</v>
      </c>
    </row>
    <row r="41" spans="1:9">
      <c r="A41" s="1" t="s">
        <v>404</v>
      </c>
      <c r="B41" s="1" t="s">
        <v>112</v>
      </c>
      <c r="C41" s="1" t="s">
        <v>17</v>
      </c>
      <c r="D41" s="1" t="s">
        <v>18</v>
      </c>
      <c r="E41" s="2">
        <v>45992</v>
      </c>
      <c r="F41" s="2"/>
      <c r="G41">
        <v>56786.55</v>
      </c>
      <c r="H41" s="1" t="s">
        <v>405</v>
      </c>
      <c r="I41" s="1" t="s">
        <v>368</v>
      </c>
    </row>
    <row r="42" spans="1:9">
      <c r="A42" s="1" t="s">
        <v>406</v>
      </c>
      <c r="B42" s="1" t="s">
        <v>34</v>
      </c>
      <c r="C42" s="1" t="s">
        <v>35</v>
      </c>
      <c r="D42" s="1" t="s">
        <v>36</v>
      </c>
      <c r="E42" s="2">
        <v>45870</v>
      </c>
      <c r="F42" s="2"/>
      <c r="G42">
        <v>28446.45</v>
      </c>
      <c r="H42" s="1" t="s">
        <v>405</v>
      </c>
      <c r="I42" s="1" t="s">
        <v>364</v>
      </c>
    </row>
    <row r="43" spans="1:9">
      <c r="A43" s="1" t="s">
        <v>407</v>
      </c>
      <c r="B43" s="1" t="s">
        <v>76</v>
      </c>
      <c r="C43" s="1" t="s">
        <v>77</v>
      </c>
      <c r="D43" s="1" t="s">
        <v>78</v>
      </c>
      <c r="E43" s="2">
        <v>45839</v>
      </c>
      <c r="F43" s="2"/>
      <c r="G43">
        <v>25161.54</v>
      </c>
      <c r="H43" s="1" t="s">
        <v>405</v>
      </c>
      <c r="I43" s="1" t="s">
        <v>368</v>
      </c>
    </row>
    <row r="44" spans="1:9">
      <c r="A44" s="1" t="s">
        <v>408</v>
      </c>
      <c r="B44" s="1" t="s">
        <v>115</v>
      </c>
      <c r="C44" s="1" t="s">
        <v>26</v>
      </c>
      <c r="D44" s="1" t="s">
        <v>27</v>
      </c>
      <c r="E44" s="2">
        <v>45962</v>
      </c>
      <c r="F44" s="2"/>
      <c r="G44">
        <v>49744.56</v>
      </c>
      <c r="H44" s="1" t="s">
        <v>367</v>
      </c>
      <c r="I44" s="1" t="s">
        <v>364</v>
      </c>
    </row>
    <row r="45" spans="1:9">
      <c r="A45" s="1" t="s">
        <v>409</v>
      </c>
      <c r="B45" s="1" t="s">
        <v>105</v>
      </c>
      <c r="C45" s="1" t="s">
        <v>106</v>
      </c>
      <c r="D45" s="1" t="s">
        <v>107</v>
      </c>
      <c r="E45" s="2">
        <v>45809</v>
      </c>
      <c r="F45" s="2">
        <v>46068</v>
      </c>
      <c r="G45">
        <v>28646.58</v>
      </c>
      <c r="H45" s="1" t="s">
        <v>360</v>
      </c>
      <c r="I45" s="1" t="s">
        <v>364</v>
      </c>
    </row>
    <row r="46" spans="1:9">
      <c r="A46" s="1" t="s">
        <v>410</v>
      </c>
      <c r="B46" s="1" t="s">
        <v>171</v>
      </c>
      <c r="C46" s="1" t="s">
        <v>77</v>
      </c>
      <c r="D46" s="1" t="s">
        <v>78</v>
      </c>
      <c r="E46" s="2">
        <v>45962</v>
      </c>
      <c r="F46" s="2">
        <v>45739</v>
      </c>
      <c r="G46">
        <v>48658.19</v>
      </c>
      <c r="H46" s="1" t="s">
        <v>360</v>
      </c>
      <c r="I46" s="1" t="s">
        <v>37</v>
      </c>
    </row>
    <row r="47" spans="1:9">
      <c r="A47" s="1" t="s">
        <v>411</v>
      </c>
      <c r="B47" s="1" t="s">
        <v>115</v>
      </c>
      <c r="C47" s="1" t="s">
        <v>26</v>
      </c>
      <c r="D47" s="1" t="s">
        <v>27</v>
      </c>
      <c r="E47" s="2">
        <v>45962</v>
      </c>
      <c r="F47" s="2">
        <v>45779</v>
      </c>
      <c r="G47">
        <v>51924.52</v>
      </c>
      <c r="H47" s="1" t="s">
        <v>360</v>
      </c>
      <c r="I47" s="1" t="s">
        <v>60</v>
      </c>
    </row>
    <row r="48" spans="1:9">
      <c r="A48" s="1" t="s">
        <v>412</v>
      </c>
      <c r="B48" s="1" t="s">
        <v>46</v>
      </c>
      <c r="C48" s="1" t="s">
        <v>47</v>
      </c>
      <c r="D48" s="1" t="s">
        <v>48</v>
      </c>
      <c r="E48" s="2">
        <v>45870</v>
      </c>
      <c r="F48" s="2"/>
      <c r="G48">
        <v>8056.63</v>
      </c>
      <c r="H48" s="1" t="s">
        <v>386</v>
      </c>
      <c r="I48" s="1" t="s">
        <v>60</v>
      </c>
    </row>
    <row r="49" spans="1:9">
      <c r="A49" s="1" t="s">
        <v>413</v>
      </c>
      <c r="B49" s="1" t="s">
        <v>112</v>
      </c>
      <c r="C49" s="1" t="s">
        <v>17</v>
      </c>
      <c r="D49" s="1" t="s">
        <v>18</v>
      </c>
      <c r="E49" s="2">
        <v>45870</v>
      </c>
      <c r="F49" s="2">
        <v>45719</v>
      </c>
      <c r="G49">
        <v>27081.86</v>
      </c>
      <c r="H49" s="1" t="s">
        <v>360</v>
      </c>
      <c r="I49" s="1" t="s">
        <v>37</v>
      </c>
    </row>
    <row r="50" spans="1:9">
      <c r="A50" s="1" t="s">
        <v>414</v>
      </c>
      <c r="B50" s="1" t="s">
        <v>83</v>
      </c>
      <c r="C50" s="1" t="s">
        <v>17</v>
      </c>
      <c r="D50" s="1" t="s">
        <v>18</v>
      </c>
      <c r="E50" s="2">
        <v>45992</v>
      </c>
      <c r="F50" s="2">
        <v>46159</v>
      </c>
      <c r="G50">
        <v>4013.07</v>
      </c>
      <c r="H50" s="1" t="s">
        <v>360</v>
      </c>
      <c r="I50" s="1" t="s">
        <v>37</v>
      </c>
    </row>
    <row r="51" spans="1:9">
      <c r="A51" s="1" t="s">
        <v>415</v>
      </c>
      <c r="B51" s="1" t="s">
        <v>97</v>
      </c>
      <c r="C51" s="1" t="s">
        <v>58</v>
      </c>
      <c r="D51" s="1" t="s">
        <v>59</v>
      </c>
      <c r="E51" s="2">
        <v>46174</v>
      </c>
      <c r="F51" s="2"/>
      <c r="G51">
        <v>56224.85</v>
      </c>
      <c r="H51" s="1" t="s">
        <v>386</v>
      </c>
      <c r="I51" s="1" t="s">
        <v>60</v>
      </c>
    </row>
    <row r="52" spans="1:9">
      <c r="A52" s="1" t="s">
        <v>416</v>
      </c>
      <c r="B52" s="1" t="s">
        <v>117</v>
      </c>
      <c r="C52" s="1" t="s">
        <v>93</v>
      </c>
      <c r="D52" s="1" t="s">
        <v>94</v>
      </c>
      <c r="E52" s="2">
        <v>45809</v>
      </c>
      <c r="F52" s="2">
        <v>45971</v>
      </c>
      <c r="G52">
        <v>11971.64</v>
      </c>
      <c r="H52" s="1" t="s">
        <v>360</v>
      </c>
      <c r="I52" s="1" t="s">
        <v>362</v>
      </c>
    </row>
    <row r="53" spans="1:9">
      <c r="A53" s="1" t="s">
        <v>417</v>
      </c>
      <c r="B53" s="1" t="s">
        <v>64</v>
      </c>
      <c r="C53" s="1" t="s">
        <v>65</v>
      </c>
      <c r="D53" s="1" t="s">
        <v>66</v>
      </c>
      <c r="E53" s="2">
        <v>45931</v>
      </c>
      <c r="F53" s="2"/>
      <c r="G53">
        <v>42007.61</v>
      </c>
      <c r="H53" s="1" t="s">
        <v>405</v>
      </c>
      <c r="I53" s="1" t="s">
        <v>37</v>
      </c>
    </row>
    <row r="54" spans="1:9">
      <c r="A54" s="1" t="s">
        <v>418</v>
      </c>
      <c r="B54" s="1" t="s">
        <v>16</v>
      </c>
      <c r="C54" s="1" t="s">
        <v>17</v>
      </c>
      <c r="D54" s="1" t="s">
        <v>18</v>
      </c>
      <c r="E54" s="2">
        <v>45962</v>
      </c>
      <c r="F54" s="2">
        <v>45797</v>
      </c>
      <c r="G54">
        <v>25105.05</v>
      </c>
      <c r="H54" s="1" t="s">
        <v>360</v>
      </c>
      <c r="I54" s="1" t="s">
        <v>60</v>
      </c>
    </row>
    <row r="55" spans="1:9">
      <c r="A55" s="1" t="s">
        <v>419</v>
      </c>
      <c r="B55" s="1" t="s">
        <v>83</v>
      </c>
      <c r="C55" s="1" t="s">
        <v>17</v>
      </c>
      <c r="D55" s="1" t="s">
        <v>18</v>
      </c>
      <c r="E55" s="2">
        <v>46023</v>
      </c>
      <c r="F55" s="2">
        <v>45822</v>
      </c>
      <c r="G55">
        <v>17831.810000000001</v>
      </c>
      <c r="H55" s="1" t="s">
        <v>360</v>
      </c>
      <c r="I55" s="1" t="s">
        <v>362</v>
      </c>
    </row>
    <row r="56" spans="1:9">
      <c r="A56" s="1" t="s">
        <v>420</v>
      </c>
      <c r="B56" s="1" t="s">
        <v>57</v>
      </c>
      <c r="C56" s="1" t="s">
        <v>58</v>
      </c>
      <c r="D56" s="1" t="s">
        <v>59</v>
      </c>
      <c r="E56" s="2">
        <v>45962</v>
      </c>
      <c r="F56" s="2"/>
      <c r="G56">
        <v>21396.44</v>
      </c>
      <c r="H56" s="1" t="s">
        <v>367</v>
      </c>
      <c r="I56" s="1" t="s">
        <v>362</v>
      </c>
    </row>
    <row r="57" spans="1:9">
      <c r="A57" s="1" t="s">
        <v>421</v>
      </c>
      <c r="B57" s="1" t="s">
        <v>16</v>
      </c>
      <c r="C57" s="1" t="s">
        <v>17</v>
      </c>
      <c r="D57" s="1" t="s">
        <v>18</v>
      </c>
      <c r="E57" s="2">
        <v>46023</v>
      </c>
      <c r="F57" s="2">
        <v>46048</v>
      </c>
      <c r="G57">
        <v>12365.2</v>
      </c>
      <c r="H57" s="1" t="s">
        <v>360</v>
      </c>
      <c r="I57" s="1" t="s">
        <v>368</v>
      </c>
    </row>
    <row r="58" spans="1:9">
      <c r="A58" s="1" t="s">
        <v>422</v>
      </c>
      <c r="B58" s="1" t="s">
        <v>171</v>
      </c>
      <c r="C58" s="1" t="s">
        <v>77</v>
      </c>
      <c r="D58" s="1" t="s">
        <v>78</v>
      </c>
      <c r="E58" s="2">
        <v>45901</v>
      </c>
      <c r="F58" s="2">
        <v>46158</v>
      </c>
      <c r="G58">
        <v>7285.35</v>
      </c>
      <c r="H58" s="1" t="s">
        <v>360</v>
      </c>
      <c r="I58" s="1" t="s">
        <v>368</v>
      </c>
    </row>
    <row r="59" spans="1:9">
      <c r="A59" s="1" t="s">
        <v>423</v>
      </c>
      <c r="B59" s="1" t="s">
        <v>57</v>
      </c>
      <c r="C59" s="1" t="s">
        <v>58</v>
      </c>
      <c r="D59" s="1" t="s">
        <v>59</v>
      </c>
      <c r="E59" s="2">
        <v>45658</v>
      </c>
      <c r="F59" s="2">
        <v>45827</v>
      </c>
      <c r="G59">
        <v>35907.01</v>
      </c>
      <c r="H59" s="1" t="s">
        <v>360</v>
      </c>
      <c r="I59" s="1" t="s">
        <v>60</v>
      </c>
    </row>
    <row r="60" spans="1:9">
      <c r="A60" s="1" t="s">
        <v>424</v>
      </c>
      <c r="B60" s="1" t="s">
        <v>76</v>
      </c>
      <c r="C60" s="1" t="s">
        <v>77</v>
      </c>
      <c r="D60" s="1" t="s">
        <v>78</v>
      </c>
      <c r="E60" s="2">
        <v>46357</v>
      </c>
      <c r="F60" s="2"/>
      <c r="G60">
        <v>6639.5</v>
      </c>
      <c r="H60" s="1" t="s">
        <v>367</v>
      </c>
      <c r="I60" s="1" t="s">
        <v>364</v>
      </c>
    </row>
    <row r="61" spans="1:9">
      <c r="A61" s="1" t="s">
        <v>425</v>
      </c>
      <c r="B61" s="1" t="s">
        <v>57</v>
      </c>
      <c r="C61" s="1" t="s">
        <v>58</v>
      </c>
      <c r="D61" s="1" t="s">
        <v>59</v>
      </c>
      <c r="E61" s="2">
        <v>45839</v>
      </c>
      <c r="F61" s="2">
        <v>45808</v>
      </c>
      <c r="G61">
        <v>24848.89</v>
      </c>
      <c r="H61" s="1" t="s">
        <v>360</v>
      </c>
      <c r="I61" s="1" t="s">
        <v>362</v>
      </c>
    </row>
    <row r="62" spans="1:9">
      <c r="A62" s="1" t="s">
        <v>426</v>
      </c>
      <c r="B62" s="1" t="s">
        <v>92</v>
      </c>
      <c r="C62" s="1" t="s">
        <v>93</v>
      </c>
      <c r="D62" s="1" t="s">
        <v>94</v>
      </c>
      <c r="E62" s="2">
        <v>46296</v>
      </c>
      <c r="F62" s="2"/>
      <c r="G62">
        <v>15374.5</v>
      </c>
      <c r="H62" s="1" t="s">
        <v>386</v>
      </c>
      <c r="I62" s="1" t="s">
        <v>37</v>
      </c>
    </row>
    <row r="63" spans="1:9">
      <c r="A63" s="1" t="s">
        <v>427</v>
      </c>
      <c r="B63" s="1" t="s">
        <v>71</v>
      </c>
      <c r="C63" s="1" t="s">
        <v>72</v>
      </c>
      <c r="D63" s="1" t="s">
        <v>73</v>
      </c>
      <c r="E63" s="2">
        <v>45870</v>
      </c>
      <c r="F63" s="2"/>
      <c r="G63">
        <v>7774.13</v>
      </c>
      <c r="H63" s="1" t="s">
        <v>405</v>
      </c>
      <c r="I63" s="1" t="s">
        <v>37</v>
      </c>
    </row>
    <row r="64" spans="1:9">
      <c r="A64" s="1" t="s">
        <v>428</v>
      </c>
      <c r="B64" s="1" t="s">
        <v>83</v>
      </c>
      <c r="C64" s="1" t="s">
        <v>17</v>
      </c>
      <c r="D64" s="1" t="s">
        <v>18</v>
      </c>
      <c r="E64" s="2">
        <v>46235</v>
      </c>
      <c r="F64" s="2"/>
      <c r="G64">
        <v>51709.79</v>
      </c>
      <c r="H64" s="1" t="s">
        <v>386</v>
      </c>
      <c r="I64" s="1" t="s">
        <v>368</v>
      </c>
    </row>
    <row r="65" spans="1:9">
      <c r="A65" s="1" t="s">
        <v>429</v>
      </c>
      <c r="B65" s="1" t="s">
        <v>100</v>
      </c>
      <c r="C65" s="1" t="s">
        <v>47</v>
      </c>
      <c r="D65" s="1" t="s">
        <v>48</v>
      </c>
      <c r="E65" s="2">
        <v>45839</v>
      </c>
      <c r="F65" s="2"/>
      <c r="G65">
        <v>56054.89</v>
      </c>
      <c r="H65" s="1" t="s">
        <v>405</v>
      </c>
      <c r="I65" s="1" t="s">
        <v>37</v>
      </c>
    </row>
    <row r="66" spans="1:9">
      <c r="A66" s="1" t="s">
        <v>430</v>
      </c>
      <c r="B66" s="1" t="s">
        <v>57</v>
      </c>
      <c r="C66" s="1" t="s">
        <v>58</v>
      </c>
      <c r="D66" s="1" t="s">
        <v>59</v>
      </c>
      <c r="E66" s="2">
        <v>45962</v>
      </c>
      <c r="F66" s="2"/>
      <c r="G66">
        <v>6484.45</v>
      </c>
      <c r="H66" s="1" t="s">
        <v>386</v>
      </c>
      <c r="I66" s="1" t="s">
        <v>368</v>
      </c>
    </row>
    <row r="67" spans="1:9">
      <c r="A67" s="1" t="s">
        <v>431</v>
      </c>
      <c r="B67" s="1" t="s">
        <v>86</v>
      </c>
      <c r="C67" s="1" t="s">
        <v>47</v>
      </c>
      <c r="D67" s="1" t="s">
        <v>48</v>
      </c>
      <c r="E67" s="2">
        <v>46235</v>
      </c>
      <c r="F67" s="2"/>
      <c r="G67">
        <v>40414.17</v>
      </c>
      <c r="H67" s="1" t="s">
        <v>405</v>
      </c>
      <c r="I67" s="1" t="s">
        <v>60</v>
      </c>
    </row>
    <row r="68" spans="1:9">
      <c r="A68" s="1" t="s">
        <v>432</v>
      </c>
      <c r="B68" s="1" t="s">
        <v>115</v>
      </c>
      <c r="C68" s="1" t="s">
        <v>26</v>
      </c>
      <c r="D68" s="1" t="s">
        <v>27</v>
      </c>
      <c r="E68" s="2">
        <v>45839</v>
      </c>
      <c r="F68" s="2"/>
      <c r="G68">
        <v>35823.519999999997</v>
      </c>
      <c r="H68" s="1" t="s">
        <v>367</v>
      </c>
      <c r="I68" s="1" t="s">
        <v>362</v>
      </c>
    </row>
    <row r="69" spans="1:9">
      <c r="A69" s="1" t="s">
        <v>433</v>
      </c>
      <c r="B69" s="1" t="s">
        <v>83</v>
      </c>
      <c r="C69" s="1" t="s">
        <v>17</v>
      </c>
      <c r="D69" s="1" t="s">
        <v>18</v>
      </c>
      <c r="E69" s="2">
        <v>46327</v>
      </c>
      <c r="F69" s="2"/>
      <c r="G69">
        <v>36296.78</v>
      </c>
      <c r="H69" s="1" t="s">
        <v>367</v>
      </c>
      <c r="I69" s="1" t="s">
        <v>60</v>
      </c>
    </row>
    <row r="70" spans="1:9">
      <c r="A70" s="1" t="s">
        <v>434</v>
      </c>
      <c r="B70" s="1" t="s">
        <v>105</v>
      </c>
      <c r="C70" s="1" t="s">
        <v>106</v>
      </c>
      <c r="D70" s="1" t="s">
        <v>107</v>
      </c>
      <c r="E70" s="2">
        <v>45689</v>
      </c>
      <c r="F70" s="2">
        <v>45959</v>
      </c>
      <c r="G70">
        <v>5307.57</v>
      </c>
      <c r="H70" s="1" t="s">
        <v>360</v>
      </c>
      <c r="I70" s="1" t="s">
        <v>368</v>
      </c>
    </row>
    <row r="71" spans="1:9">
      <c r="A71" s="1" t="s">
        <v>435</v>
      </c>
      <c r="B71" s="1" t="s">
        <v>43</v>
      </c>
      <c r="C71" s="1" t="s">
        <v>35</v>
      </c>
      <c r="D71" s="1" t="s">
        <v>36</v>
      </c>
      <c r="E71" s="2">
        <v>46174</v>
      </c>
      <c r="F71" s="2"/>
      <c r="G71">
        <v>27352.47</v>
      </c>
      <c r="H71" s="1" t="s">
        <v>386</v>
      </c>
      <c r="I71" s="1" t="s">
        <v>368</v>
      </c>
    </row>
    <row r="72" spans="1:9">
      <c r="A72" s="1" t="s">
        <v>436</v>
      </c>
      <c r="B72" s="1" t="s">
        <v>57</v>
      </c>
      <c r="C72" s="1" t="s">
        <v>58</v>
      </c>
      <c r="D72" s="1" t="s">
        <v>59</v>
      </c>
      <c r="E72" s="2">
        <v>46143</v>
      </c>
      <c r="F72" s="2">
        <v>45896</v>
      </c>
      <c r="G72">
        <v>18647.91</v>
      </c>
      <c r="H72" s="1" t="s">
        <v>360</v>
      </c>
      <c r="I72" s="1" t="s">
        <v>60</v>
      </c>
    </row>
    <row r="73" spans="1:9">
      <c r="A73" s="1" t="s">
        <v>437</v>
      </c>
      <c r="B73" s="1" t="s">
        <v>46</v>
      </c>
      <c r="C73" s="1" t="s">
        <v>47</v>
      </c>
      <c r="D73" s="1" t="s">
        <v>48</v>
      </c>
      <c r="E73" s="2">
        <v>45689</v>
      </c>
      <c r="F73" s="2"/>
      <c r="G73">
        <v>34055.599999999999</v>
      </c>
      <c r="H73" s="1" t="s">
        <v>386</v>
      </c>
      <c r="I73" s="1" t="s">
        <v>364</v>
      </c>
    </row>
    <row r="74" spans="1:9">
      <c r="A74" s="1" t="s">
        <v>438</v>
      </c>
      <c r="B74" s="1" t="s">
        <v>16</v>
      </c>
      <c r="C74" s="1" t="s">
        <v>17</v>
      </c>
      <c r="D74" s="1" t="s">
        <v>18</v>
      </c>
      <c r="E74" s="2">
        <v>46327</v>
      </c>
      <c r="F74" s="2">
        <v>45685</v>
      </c>
      <c r="G74">
        <v>54540.19</v>
      </c>
      <c r="H74" s="1" t="s">
        <v>360</v>
      </c>
      <c r="I74" s="1" t="s">
        <v>364</v>
      </c>
    </row>
    <row r="75" spans="1:9">
      <c r="A75" s="1" t="s">
        <v>439</v>
      </c>
      <c r="B75" s="1" t="s">
        <v>97</v>
      </c>
      <c r="C75" s="1" t="s">
        <v>58</v>
      </c>
      <c r="D75" s="1" t="s">
        <v>59</v>
      </c>
      <c r="E75" s="2">
        <v>46266</v>
      </c>
      <c r="F75" s="2"/>
      <c r="G75">
        <v>37256.26</v>
      </c>
      <c r="H75" s="1" t="s">
        <v>386</v>
      </c>
      <c r="I75" s="1" t="s">
        <v>37</v>
      </c>
    </row>
    <row r="76" spans="1:9">
      <c r="A76" s="1" t="s">
        <v>440</v>
      </c>
      <c r="B76" s="1" t="s">
        <v>76</v>
      </c>
      <c r="C76" s="1" t="s">
        <v>77</v>
      </c>
      <c r="D76" s="1" t="s">
        <v>78</v>
      </c>
      <c r="E76" s="2">
        <v>45717</v>
      </c>
      <c r="F76" s="2">
        <v>45815</v>
      </c>
      <c r="G76">
        <v>18808.080000000002</v>
      </c>
      <c r="H76" s="1" t="s">
        <v>360</v>
      </c>
      <c r="I76" s="1" t="s">
        <v>364</v>
      </c>
    </row>
    <row r="77" spans="1:9">
      <c r="A77" s="1" t="s">
        <v>441</v>
      </c>
      <c r="B77" s="1" t="s">
        <v>171</v>
      </c>
      <c r="C77" s="1" t="s">
        <v>77</v>
      </c>
      <c r="D77" s="1" t="s">
        <v>78</v>
      </c>
      <c r="E77" s="2">
        <v>46235</v>
      </c>
      <c r="F77" s="2">
        <v>46171</v>
      </c>
      <c r="G77">
        <v>51773.48</v>
      </c>
      <c r="H77" s="1" t="s">
        <v>360</v>
      </c>
      <c r="I77" s="1" t="s">
        <v>362</v>
      </c>
    </row>
    <row r="78" spans="1:9">
      <c r="A78" s="1" t="s">
        <v>442</v>
      </c>
      <c r="B78" s="1" t="s">
        <v>68</v>
      </c>
      <c r="C78" s="1" t="s">
        <v>58</v>
      </c>
      <c r="D78" s="1" t="s">
        <v>59</v>
      </c>
      <c r="E78" s="2">
        <v>45689</v>
      </c>
      <c r="F78" s="2">
        <v>45832</v>
      </c>
      <c r="G78">
        <v>19445.900000000001</v>
      </c>
      <c r="H78" s="1" t="s">
        <v>360</v>
      </c>
      <c r="I78" s="1" t="s">
        <v>362</v>
      </c>
    </row>
    <row r="79" spans="1:9">
      <c r="A79" s="1" t="s">
        <v>443</v>
      </c>
      <c r="B79" s="1" t="s">
        <v>76</v>
      </c>
      <c r="C79" s="1" t="s">
        <v>77</v>
      </c>
      <c r="D79" s="1" t="s">
        <v>78</v>
      </c>
      <c r="E79" s="2">
        <v>46113</v>
      </c>
      <c r="F79" s="2"/>
      <c r="G79">
        <v>30671.279999999999</v>
      </c>
      <c r="H79" s="1" t="s">
        <v>386</v>
      </c>
      <c r="I79" s="1" t="s">
        <v>364</v>
      </c>
    </row>
    <row r="80" spans="1:9">
      <c r="A80" s="1" t="s">
        <v>444</v>
      </c>
      <c r="B80" s="1" t="s">
        <v>16</v>
      </c>
      <c r="C80" s="1" t="s">
        <v>17</v>
      </c>
      <c r="D80" s="1" t="s">
        <v>18</v>
      </c>
      <c r="E80" s="2">
        <v>45870</v>
      </c>
      <c r="F80" s="2"/>
      <c r="G80">
        <v>3841.33</v>
      </c>
      <c r="H80" s="1" t="s">
        <v>386</v>
      </c>
      <c r="I80" s="1" t="s">
        <v>364</v>
      </c>
    </row>
    <row r="81" spans="1:9">
      <c r="A81" s="1" t="s">
        <v>445</v>
      </c>
      <c r="B81" s="1" t="s">
        <v>25</v>
      </c>
      <c r="C81" s="1" t="s">
        <v>26</v>
      </c>
      <c r="D81" s="1" t="s">
        <v>27</v>
      </c>
      <c r="E81" s="2">
        <v>46266</v>
      </c>
      <c r="F81" s="2"/>
      <c r="G81">
        <v>25952.48</v>
      </c>
      <c r="H81" s="1" t="s">
        <v>405</v>
      </c>
      <c r="I81" s="1" t="s">
        <v>37</v>
      </c>
    </row>
    <row r="82" spans="1:9">
      <c r="A82" s="1" t="s">
        <v>446</v>
      </c>
      <c r="B82" s="1" t="s">
        <v>117</v>
      </c>
      <c r="C82" s="1" t="s">
        <v>93</v>
      </c>
      <c r="D82" s="1" t="s">
        <v>94</v>
      </c>
      <c r="E82" s="2">
        <v>45901</v>
      </c>
      <c r="F82" s="2">
        <v>45974</v>
      </c>
      <c r="G82">
        <v>7304.95</v>
      </c>
      <c r="H82" s="1" t="s">
        <v>360</v>
      </c>
      <c r="I82" s="1" t="s">
        <v>362</v>
      </c>
    </row>
    <row r="83" spans="1:9">
      <c r="A83" s="1" t="s">
        <v>447</v>
      </c>
      <c r="B83" s="1" t="s">
        <v>105</v>
      </c>
      <c r="C83" s="1" t="s">
        <v>106</v>
      </c>
      <c r="D83" s="1" t="s">
        <v>107</v>
      </c>
      <c r="E83" s="2">
        <v>45748</v>
      </c>
      <c r="F83" s="2">
        <v>46118</v>
      </c>
      <c r="G83">
        <v>56072.33</v>
      </c>
      <c r="H83" s="1" t="s">
        <v>360</v>
      </c>
      <c r="I83" s="1" t="s">
        <v>60</v>
      </c>
    </row>
    <row r="84" spans="1:9">
      <c r="A84" s="1" t="s">
        <v>448</v>
      </c>
      <c r="B84" s="1" t="s">
        <v>43</v>
      </c>
      <c r="C84" s="1" t="s">
        <v>35</v>
      </c>
      <c r="D84" s="1" t="s">
        <v>36</v>
      </c>
      <c r="E84" s="2">
        <v>46054</v>
      </c>
      <c r="F84" s="2"/>
      <c r="G84">
        <v>56698.48</v>
      </c>
      <c r="H84" s="1" t="s">
        <v>367</v>
      </c>
      <c r="I84" s="1" t="s">
        <v>368</v>
      </c>
    </row>
    <row r="85" spans="1:9">
      <c r="A85" s="1" t="s">
        <v>449</v>
      </c>
      <c r="B85" s="1" t="s">
        <v>83</v>
      </c>
      <c r="C85" s="1" t="s">
        <v>17</v>
      </c>
      <c r="D85" s="1" t="s">
        <v>18</v>
      </c>
      <c r="E85" s="2">
        <v>45689</v>
      </c>
      <c r="F85" s="2"/>
      <c r="G85">
        <v>34784.35</v>
      </c>
      <c r="H85" s="1" t="s">
        <v>367</v>
      </c>
      <c r="I85" s="1" t="s">
        <v>60</v>
      </c>
    </row>
    <row r="86" spans="1:9">
      <c r="A86" s="1" t="s">
        <v>450</v>
      </c>
      <c r="B86" s="1" t="s">
        <v>115</v>
      </c>
      <c r="C86" s="1" t="s">
        <v>26</v>
      </c>
      <c r="D86" s="1" t="s">
        <v>27</v>
      </c>
      <c r="E86" s="2">
        <v>46296</v>
      </c>
      <c r="F86" s="2">
        <v>45892</v>
      </c>
      <c r="G86">
        <v>51702.65</v>
      </c>
      <c r="H86" s="1" t="s">
        <v>360</v>
      </c>
      <c r="I86" s="1" t="s">
        <v>368</v>
      </c>
    </row>
    <row r="87" spans="1:9">
      <c r="A87" s="1" t="s">
        <v>451</v>
      </c>
      <c r="B87" s="1" t="s">
        <v>83</v>
      </c>
      <c r="C87" s="1" t="s">
        <v>17</v>
      </c>
      <c r="D87" s="1" t="s">
        <v>18</v>
      </c>
      <c r="E87" s="2">
        <v>45689</v>
      </c>
      <c r="F87" s="2">
        <v>45984</v>
      </c>
      <c r="G87">
        <v>3983.5</v>
      </c>
      <c r="H87" s="1" t="s">
        <v>360</v>
      </c>
      <c r="I87" s="1" t="s">
        <v>60</v>
      </c>
    </row>
    <row r="88" spans="1:9">
      <c r="A88" s="1" t="s">
        <v>452</v>
      </c>
      <c r="B88" s="1" t="s">
        <v>105</v>
      </c>
      <c r="C88" s="1" t="s">
        <v>106</v>
      </c>
      <c r="D88" s="1" t="s">
        <v>107</v>
      </c>
      <c r="E88" s="2">
        <v>46357</v>
      </c>
      <c r="F88" s="2"/>
      <c r="G88">
        <v>55265.279999999999</v>
      </c>
      <c r="H88" s="1" t="s">
        <v>367</v>
      </c>
      <c r="I88" s="1" t="s">
        <v>60</v>
      </c>
    </row>
    <row r="89" spans="1:9">
      <c r="A89" s="1" t="s">
        <v>453</v>
      </c>
      <c r="B89" s="1" t="s">
        <v>117</v>
      </c>
      <c r="C89" s="1" t="s">
        <v>93</v>
      </c>
      <c r="D89" s="1" t="s">
        <v>94</v>
      </c>
      <c r="E89" s="2">
        <v>46143</v>
      </c>
      <c r="F89" s="2"/>
      <c r="G89">
        <v>19523.93</v>
      </c>
      <c r="H89" s="1" t="s">
        <v>367</v>
      </c>
      <c r="I89" s="1" t="s">
        <v>362</v>
      </c>
    </row>
    <row r="90" spans="1:9">
      <c r="A90" s="1" t="s">
        <v>454</v>
      </c>
      <c r="B90" s="1" t="s">
        <v>97</v>
      </c>
      <c r="C90" s="1" t="s">
        <v>58</v>
      </c>
      <c r="D90" s="1" t="s">
        <v>59</v>
      </c>
      <c r="E90" s="2">
        <v>46296</v>
      </c>
      <c r="F90" s="2">
        <v>45895</v>
      </c>
      <c r="G90">
        <v>21391.34</v>
      </c>
      <c r="H90" s="1" t="s">
        <v>360</v>
      </c>
      <c r="I90" s="1" t="s">
        <v>60</v>
      </c>
    </row>
    <row r="91" spans="1:9">
      <c r="A91" s="1" t="s">
        <v>455</v>
      </c>
      <c r="B91" s="1" t="s">
        <v>16</v>
      </c>
      <c r="C91" s="1" t="s">
        <v>17</v>
      </c>
      <c r="D91" s="1" t="s">
        <v>18</v>
      </c>
      <c r="E91" s="2">
        <v>46023</v>
      </c>
      <c r="F91" s="2">
        <v>45675</v>
      </c>
      <c r="G91">
        <v>53381.11</v>
      </c>
      <c r="H91" s="1" t="s">
        <v>360</v>
      </c>
      <c r="I91" s="1" t="s">
        <v>362</v>
      </c>
    </row>
    <row r="92" spans="1:9">
      <c r="A92" s="1" t="s">
        <v>456</v>
      </c>
      <c r="B92" s="1" t="s">
        <v>16</v>
      </c>
      <c r="C92" s="1" t="s">
        <v>17</v>
      </c>
      <c r="D92" s="1" t="s">
        <v>18</v>
      </c>
      <c r="E92" s="2">
        <v>46296</v>
      </c>
      <c r="F92" s="2"/>
      <c r="G92">
        <v>40694.620000000003</v>
      </c>
      <c r="H92" s="1" t="s">
        <v>367</v>
      </c>
      <c r="I92" s="1" t="s">
        <v>37</v>
      </c>
    </row>
    <row r="93" spans="1:9">
      <c r="A93" s="1" t="s">
        <v>457</v>
      </c>
      <c r="B93" s="1" t="s">
        <v>76</v>
      </c>
      <c r="C93" s="1" t="s">
        <v>77</v>
      </c>
      <c r="D93" s="1" t="s">
        <v>78</v>
      </c>
      <c r="E93" s="2">
        <v>45809</v>
      </c>
      <c r="F93" s="2">
        <v>45667</v>
      </c>
      <c r="G93">
        <v>57620.28</v>
      </c>
      <c r="H93" s="1" t="s">
        <v>360</v>
      </c>
      <c r="I93" s="1" t="s">
        <v>362</v>
      </c>
    </row>
    <row r="94" spans="1:9">
      <c r="A94" s="1" t="s">
        <v>458</v>
      </c>
      <c r="B94" s="1" t="s">
        <v>25</v>
      </c>
      <c r="C94" s="1" t="s">
        <v>26</v>
      </c>
      <c r="D94" s="1" t="s">
        <v>27</v>
      </c>
      <c r="E94" s="2">
        <v>45717</v>
      </c>
      <c r="F94" s="2">
        <v>45737</v>
      </c>
      <c r="G94">
        <v>54617.35</v>
      </c>
      <c r="H94" s="1" t="s">
        <v>360</v>
      </c>
      <c r="I94" s="1" t="s">
        <v>60</v>
      </c>
    </row>
    <row r="95" spans="1:9">
      <c r="A95" s="1" t="s">
        <v>459</v>
      </c>
      <c r="B95" s="1" t="s">
        <v>112</v>
      </c>
      <c r="C95" s="1" t="s">
        <v>17</v>
      </c>
      <c r="D95" s="1" t="s">
        <v>18</v>
      </c>
      <c r="E95" s="2">
        <v>45748</v>
      </c>
      <c r="F95" s="2">
        <v>46176</v>
      </c>
      <c r="G95">
        <v>24547.03</v>
      </c>
      <c r="H95" s="1" t="s">
        <v>360</v>
      </c>
      <c r="I95" s="1" t="s">
        <v>362</v>
      </c>
    </row>
    <row r="96" spans="1:9">
      <c r="A96" s="1" t="s">
        <v>460</v>
      </c>
      <c r="B96" s="1" t="s">
        <v>112</v>
      </c>
      <c r="C96" s="1" t="s">
        <v>17</v>
      </c>
      <c r="D96" s="1" t="s">
        <v>18</v>
      </c>
      <c r="E96" s="2">
        <v>46235</v>
      </c>
      <c r="F96" s="2">
        <v>45779</v>
      </c>
      <c r="G96">
        <v>46409.72</v>
      </c>
      <c r="H96" s="1" t="s">
        <v>360</v>
      </c>
      <c r="I96" s="1" t="s">
        <v>37</v>
      </c>
    </row>
    <row r="97" spans="1:9">
      <c r="A97" s="1" t="s">
        <v>461</v>
      </c>
      <c r="B97" s="1" t="s">
        <v>64</v>
      </c>
      <c r="C97" s="1" t="s">
        <v>65</v>
      </c>
      <c r="D97" s="1" t="s">
        <v>66</v>
      </c>
      <c r="E97" s="2">
        <v>46296</v>
      </c>
      <c r="F97" s="2">
        <v>45960</v>
      </c>
      <c r="G97">
        <v>28729.14</v>
      </c>
      <c r="H97" s="1" t="s">
        <v>360</v>
      </c>
      <c r="I97" s="1" t="s">
        <v>368</v>
      </c>
    </row>
    <row r="98" spans="1:9">
      <c r="A98" s="1" t="s">
        <v>462</v>
      </c>
      <c r="B98" s="1" t="s">
        <v>92</v>
      </c>
      <c r="C98" s="1" t="s">
        <v>93</v>
      </c>
      <c r="D98" s="1" t="s">
        <v>94</v>
      </c>
      <c r="E98" s="2">
        <v>46143</v>
      </c>
      <c r="F98" s="2"/>
      <c r="G98">
        <v>27187.200000000001</v>
      </c>
      <c r="H98" s="1" t="s">
        <v>405</v>
      </c>
      <c r="I98" s="1" t="s">
        <v>60</v>
      </c>
    </row>
    <row r="99" spans="1:9">
      <c r="A99" s="1" t="s">
        <v>463</v>
      </c>
      <c r="B99" s="1" t="s">
        <v>34</v>
      </c>
      <c r="C99" s="1" t="s">
        <v>35</v>
      </c>
      <c r="D99" s="1" t="s">
        <v>36</v>
      </c>
      <c r="E99" s="2">
        <v>45778</v>
      </c>
      <c r="F99" s="2">
        <v>45794</v>
      </c>
      <c r="G99">
        <v>31019.56</v>
      </c>
      <c r="H99" s="1" t="s">
        <v>360</v>
      </c>
      <c r="I99" s="1" t="s">
        <v>60</v>
      </c>
    </row>
    <row r="100" spans="1:9">
      <c r="A100" s="1" t="s">
        <v>464</v>
      </c>
      <c r="B100" s="1" t="s">
        <v>112</v>
      </c>
      <c r="C100" s="1" t="s">
        <v>17</v>
      </c>
      <c r="D100" s="1" t="s">
        <v>18</v>
      </c>
      <c r="E100" s="2">
        <v>45809</v>
      </c>
      <c r="F100" s="2">
        <v>46036</v>
      </c>
      <c r="G100">
        <v>20166.71</v>
      </c>
      <c r="H100" s="1" t="s">
        <v>360</v>
      </c>
      <c r="I100" s="1" t="s">
        <v>37</v>
      </c>
    </row>
    <row r="101" spans="1:9">
      <c r="A101" s="1" t="s">
        <v>465</v>
      </c>
      <c r="B101" s="1" t="s">
        <v>64</v>
      </c>
      <c r="C101" s="1" t="s">
        <v>65</v>
      </c>
      <c r="D101" s="1" t="s">
        <v>66</v>
      </c>
      <c r="E101" s="2">
        <v>45778</v>
      </c>
      <c r="F101" s="2"/>
      <c r="G101">
        <v>7810.16</v>
      </c>
      <c r="H101" s="1" t="s">
        <v>405</v>
      </c>
      <c r="I101" s="1" t="s">
        <v>362</v>
      </c>
    </row>
    <row r="102" spans="1:9">
      <c r="A102" s="1" t="s">
        <v>466</v>
      </c>
      <c r="B102" s="1" t="s">
        <v>46</v>
      </c>
      <c r="C102" s="1" t="s">
        <v>47</v>
      </c>
      <c r="D102" s="1" t="s">
        <v>48</v>
      </c>
      <c r="E102" s="2">
        <v>46357</v>
      </c>
      <c r="F102" s="2">
        <v>46086</v>
      </c>
      <c r="G102">
        <v>47103.07</v>
      </c>
      <c r="H102" s="1" t="s">
        <v>360</v>
      </c>
      <c r="I102" s="1" t="s">
        <v>362</v>
      </c>
    </row>
    <row r="103" spans="1:9">
      <c r="A103" s="1" t="s">
        <v>467</v>
      </c>
      <c r="B103" s="1" t="s">
        <v>46</v>
      </c>
      <c r="C103" s="1" t="s">
        <v>47</v>
      </c>
      <c r="D103" s="1" t="s">
        <v>48</v>
      </c>
      <c r="E103" s="2">
        <v>45870</v>
      </c>
      <c r="F103" s="2">
        <v>46193</v>
      </c>
      <c r="G103">
        <v>49857.08</v>
      </c>
      <c r="H103" s="1" t="s">
        <v>360</v>
      </c>
      <c r="I103" s="1" t="s">
        <v>362</v>
      </c>
    </row>
    <row r="104" spans="1:9">
      <c r="A104" s="1" t="s">
        <v>468</v>
      </c>
      <c r="B104" s="1" t="s">
        <v>105</v>
      </c>
      <c r="C104" s="1" t="s">
        <v>106</v>
      </c>
      <c r="D104" s="1" t="s">
        <v>107</v>
      </c>
      <c r="E104" s="2">
        <v>46327</v>
      </c>
      <c r="F104" s="2">
        <v>45948</v>
      </c>
      <c r="G104">
        <v>27630.2</v>
      </c>
      <c r="H104" s="1" t="s">
        <v>360</v>
      </c>
      <c r="I104" s="1" t="s">
        <v>368</v>
      </c>
    </row>
    <row r="105" spans="1:9">
      <c r="A105" s="1" t="s">
        <v>469</v>
      </c>
      <c r="B105" s="1" t="s">
        <v>25</v>
      </c>
      <c r="C105" s="1" t="s">
        <v>26</v>
      </c>
      <c r="D105" s="1" t="s">
        <v>27</v>
      </c>
      <c r="E105" s="2">
        <v>45778</v>
      </c>
      <c r="F105" s="2">
        <v>45814</v>
      </c>
      <c r="G105">
        <v>38815.839999999997</v>
      </c>
      <c r="H105" s="1" t="s">
        <v>360</v>
      </c>
      <c r="I105" s="1" t="s">
        <v>37</v>
      </c>
    </row>
    <row r="106" spans="1:9">
      <c r="A106" s="1" t="s">
        <v>470</v>
      </c>
      <c r="B106" s="1" t="s">
        <v>100</v>
      </c>
      <c r="C106" s="1" t="s">
        <v>47</v>
      </c>
      <c r="D106" s="1" t="s">
        <v>48</v>
      </c>
      <c r="E106" s="2">
        <v>46023</v>
      </c>
      <c r="F106" s="2">
        <v>46199</v>
      </c>
      <c r="G106">
        <v>37019.03</v>
      </c>
      <c r="H106" s="1" t="s">
        <v>360</v>
      </c>
      <c r="I106" s="1" t="s">
        <v>60</v>
      </c>
    </row>
    <row r="107" spans="1:9">
      <c r="A107" s="1" t="s">
        <v>471</v>
      </c>
      <c r="B107" s="1" t="s">
        <v>86</v>
      </c>
      <c r="C107" s="1" t="s">
        <v>47</v>
      </c>
      <c r="D107" s="1" t="s">
        <v>48</v>
      </c>
      <c r="E107" s="2">
        <v>45717</v>
      </c>
      <c r="F107" s="2"/>
      <c r="G107">
        <v>17409.73</v>
      </c>
      <c r="H107" s="1" t="s">
        <v>405</v>
      </c>
      <c r="I107" s="1" t="s">
        <v>60</v>
      </c>
    </row>
    <row r="108" spans="1:9">
      <c r="A108" s="1" t="s">
        <v>472</v>
      </c>
      <c r="B108" s="1" t="s">
        <v>57</v>
      </c>
      <c r="C108" s="1" t="s">
        <v>58</v>
      </c>
      <c r="D108" s="1" t="s">
        <v>59</v>
      </c>
      <c r="E108" s="2">
        <v>45778</v>
      </c>
      <c r="F108" s="2">
        <v>46093</v>
      </c>
      <c r="G108">
        <v>31023.29</v>
      </c>
      <c r="H108" s="1" t="s">
        <v>360</v>
      </c>
      <c r="I108" s="1" t="s">
        <v>60</v>
      </c>
    </row>
    <row r="109" spans="1:9">
      <c r="A109" s="1" t="s">
        <v>473</v>
      </c>
      <c r="B109" s="1" t="s">
        <v>68</v>
      </c>
      <c r="C109" s="1" t="s">
        <v>58</v>
      </c>
      <c r="D109" s="1" t="s">
        <v>59</v>
      </c>
      <c r="E109" s="2">
        <v>45962</v>
      </c>
      <c r="F109" s="2">
        <v>46020</v>
      </c>
      <c r="G109">
        <v>9038.4500000000007</v>
      </c>
      <c r="H109" s="1" t="s">
        <v>360</v>
      </c>
      <c r="I109" s="1" t="s">
        <v>368</v>
      </c>
    </row>
    <row r="110" spans="1:9">
      <c r="A110" s="1" t="s">
        <v>474</v>
      </c>
      <c r="B110" s="1" t="s">
        <v>97</v>
      </c>
      <c r="C110" s="1" t="s">
        <v>58</v>
      </c>
      <c r="D110" s="1" t="s">
        <v>59</v>
      </c>
      <c r="E110" s="2">
        <v>46113</v>
      </c>
      <c r="F110" s="2"/>
      <c r="G110">
        <v>23787.94</v>
      </c>
      <c r="H110" s="1" t="s">
        <v>367</v>
      </c>
      <c r="I110" s="1" t="s">
        <v>368</v>
      </c>
    </row>
    <row r="111" spans="1:9">
      <c r="A111" s="1" t="s">
        <v>475</v>
      </c>
      <c r="B111" s="1" t="s">
        <v>46</v>
      </c>
      <c r="C111" s="1" t="s">
        <v>47</v>
      </c>
      <c r="D111" s="1" t="s">
        <v>48</v>
      </c>
      <c r="E111" s="2">
        <v>45689</v>
      </c>
      <c r="F111" s="2">
        <v>45946</v>
      </c>
      <c r="G111">
        <v>54131.76</v>
      </c>
      <c r="H111" s="1" t="s">
        <v>360</v>
      </c>
      <c r="I111" s="1" t="s">
        <v>37</v>
      </c>
    </row>
    <row r="112" spans="1:9">
      <c r="A112" s="1" t="s">
        <v>476</v>
      </c>
      <c r="B112" s="1" t="s">
        <v>76</v>
      </c>
      <c r="C112" s="1" t="s">
        <v>77</v>
      </c>
      <c r="D112" s="1" t="s">
        <v>78</v>
      </c>
      <c r="E112" s="2">
        <v>46143</v>
      </c>
      <c r="F112" s="2">
        <v>45810</v>
      </c>
      <c r="G112">
        <v>8438.7900000000009</v>
      </c>
      <c r="H112" s="1" t="s">
        <v>360</v>
      </c>
      <c r="I112" s="1" t="s">
        <v>37</v>
      </c>
    </row>
    <row r="113" spans="1:9">
      <c r="A113" s="1" t="s">
        <v>477</v>
      </c>
      <c r="B113" s="1" t="s">
        <v>100</v>
      </c>
      <c r="C113" s="1" t="s">
        <v>47</v>
      </c>
      <c r="D113" s="1" t="s">
        <v>48</v>
      </c>
      <c r="E113" s="2">
        <v>45870</v>
      </c>
      <c r="F113" s="2"/>
      <c r="G113">
        <v>39743.599999999999</v>
      </c>
      <c r="H113" s="1" t="s">
        <v>386</v>
      </c>
      <c r="I113" s="1" t="s">
        <v>362</v>
      </c>
    </row>
    <row r="114" spans="1:9">
      <c r="A114" s="1" t="s">
        <v>478</v>
      </c>
      <c r="B114" s="1" t="s">
        <v>25</v>
      </c>
      <c r="C114" s="1" t="s">
        <v>26</v>
      </c>
      <c r="D114" s="1" t="s">
        <v>27</v>
      </c>
      <c r="E114" s="2">
        <v>46054</v>
      </c>
      <c r="F114" s="2">
        <v>45892</v>
      </c>
      <c r="G114">
        <v>23135.1</v>
      </c>
      <c r="H114" s="1" t="s">
        <v>360</v>
      </c>
      <c r="I114" s="1" t="s">
        <v>364</v>
      </c>
    </row>
    <row r="115" spans="1:9">
      <c r="A115" s="1" t="s">
        <v>479</v>
      </c>
      <c r="B115" s="1" t="s">
        <v>71</v>
      </c>
      <c r="C115" s="1" t="s">
        <v>72</v>
      </c>
      <c r="D115" s="1" t="s">
        <v>73</v>
      </c>
      <c r="E115" s="2">
        <v>45931</v>
      </c>
      <c r="F115" s="2">
        <v>46178</v>
      </c>
      <c r="G115">
        <v>53075.39</v>
      </c>
      <c r="H115" s="1" t="s">
        <v>360</v>
      </c>
      <c r="I115" s="1" t="s">
        <v>362</v>
      </c>
    </row>
    <row r="116" spans="1:9">
      <c r="A116" s="1" t="s">
        <v>480</v>
      </c>
      <c r="B116" s="1" t="s">
        <v>43</v>
      </c>
      <c r="C116" s="1" t="s">
        <v>35</v>
      </c>
      <c r="D116" s="1" t="s">
        <v>36</v>
      </c>
      <c r="E116" s="2">
        <v>45839</v>
      </c>
      <c r="F116" s="2">
        <v>46196</v>
      </c>
      <c r="G116">
        <v>22649.83</v>
      </c>
      <c r="H116" s="1" t="s">
        <v>360</v>
      </c>
      <c r="I116" s="1" t="s">
        <v>60</v>
      </c>
    </row>
    <row r="117" spans="1:9">
      <c r="A117" s="1" t="s">
        <v>481</v>
      </c>
      <c r="B117" s="1" t="s">
        <v>43</v>
      </c>
      <c r="C117" s="1" t="s">
        <v>35</v>
      </c>
      <c r="D117" s="1" t="s">
        <v>36</v>
      </c>
      <c r="E117" s="2">
        <v>45839</v>
      </c>
      <c r="F117" s="2"/>
      <c r="G117">
        <v>18516.73</v>
      </c>
      <c r="H117" s="1" t="s">
        <v>386</v>
      </c>
      <c r="I117" s="1" t="s">
        <v>362</v>
      </c>
    </row>
    <row r="118" spans="1:9">
      <c r="A118" s="1" t="s">
        <v>482</v>
      </c>
      <c r="B118" s="1" t="s">
        <v>76</v>
      </c>
      <c r="C118" s="1" t="s">
        <v>77</v>
      </c>
      <c r="D118" s="1" t="s">
        <v>78</v>
      </c>
      <c r="E118" s="2">
        <v>45748</v>
      </c>
      <c r="F118" s="2"/>
      <c r="G118">
        <v>7273.9</v>
      </c>
      <c r="H118" s="1" t="s">
        <v>386</v>
      </c>
      <c r="I118" s="1" t="s">
        <v>362</v>
      </c>
    </row>
    <row r="119" spans="1:9">
      <c r="A119" s="1" t="s">
        <v>483</v>
      </c>
      <c r="B119" s="1" t="s">
        <v>115</v>
      </c>
      <c r="C119" s="1" t="s">
        <v>26</v>
      </c>
      <c r="D119" s="1" t="s">
        <v>27</v>
      </c>
      <c r="E119" s="2">
        <v>46357</v>
      </c>
      <c r="F119" s="2"/>
      <c r="G119">
        <v>6857.26</v>
      </c>
      <c r="H119" s="1" t="s">
        <v>367</v>
      </c>
      <c r="I119" s="1" t="s">
        <v>362</v>
      </c>
    </row>
    <row r="120" spans="1:9">
      <c r="A120" s="1" t="s">
        <v>484</v>
      </c>
      <c r="B120" s="1" t="s">
        <v>16</v>
      </c>
      <c r="C120" s="1" t="s">
        <v>17</v>
      </c>
      <c r="D120" s="1" t="s">
        <v>18</v>
      </c>
      <c r="E120" s="2">
        <v>46266</v>
      </c>
      <c r="F120" s="2"/>
      <c r="G120">
        <v>46851.72</v>
      </c>
      <c r="H120" s="1" t="s">
        <v>367</v>
      </c>
      <c r="I120" s="1" t="s">
        <v>364</v>
      </c>
    </row>
    <row r="121" spans="1:9">
      <c r="A121" s="1" t="s">
        <v>485</v>
      </c>
      <c r="B121" s="1" t="s">
        <v>34</v>
      </c>
      <c r="C121" s="1" t="s">
        <v>35</v>
      </c>
      <c r="D121" s="1" t="s">
        <v>36</v>
      </c>
      <c r="E121" s="2">
        <v>45870</v>
      </c>
      <c r="F121" s="2">
        <v>45748</v>
      </c>
      <c r="G121">
        <v>23495.63</v>
      </c>
      <c r="H121" s="1" t="s">
        <v>360</v>
      </c>
      <c r="I121" s="1" t="s">
        <v>362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9289-CB0A-4735-94A6-B76BFBF1CFE8}">
  <dimension ref="A1:B25"/>
  <sheetViews>
    <sheetView workbookViewId="0">
      <selection activeCell="B25" sqref="B25"/>
    </sheetView>
  </sheetViews>
  <sheetFormatPr defaultRowHeight="13.8"/>
  <cols>
    <col min="1" max="1" width="27.19921875" style="5" bestFit="1" customWidth="1"/>
    <col min="2" max="2" width="80" bestFit="1" customWidth="1"/>
  </cols>
  <sheetData>
    <row r="1" spans="1:2">
      <c r="A1" s="6" t="s">
        <v>486</v>
      </c>
      <c r="B1" s="8" t="s">
        <v>487</v>
      </c>
    </row>
    <row r="2" spans="1:2">
      <c r="A2" s="7" t="s">
        <v>488</v>
      </c>
      <c r="B2" s="9">
        <f>COUNTA(tbl_Demandas[demanda_id])</f>
        <v>240</v>
      </c>
    </row>
    <row r="3" spans="1:2">
      <c r="A3" s="7" t="s">
        <v>489</v>
      </c>
      <c r="B3" s="10">
        <f>COUNTIFS(tbl_Demandas[status_demanda],"Concluída")</f>
        <v>109</v>
      </c>
    </row>
    <row r="4" spans="1:2">
      <c r="A4" s="7" t="s">
        <v>490</v>
      </c>
      <c r="B4" s="10">
        <f>COUNTIFS(tbl_Demandas[status_demanda],"Em andamento")</f>
        <v>41</v>
      </c>
    </row>
    <row r="5" spans="1:2">
      <c r="A5" s="7" t="s">
        <v>491</v>
      </c>
      <c r="B5" s="10">
        <f>COUNTIFS(tbl_Demandas[status_demanda],"Atrasada")</f>
        <v>41</v>
      </c>
    </row>
    <row r="6" spans="1:2">
      <c r="A6" s="7" t="s">
        <v>492</v>
      </c>
      <c r="B6" s="10">
        <f>COUNTIFS(tbl_Demandas[status_demanda],"Cancelada")</f>
        <v>49</v>
      </c>
    </row>
    <row r="7" spans="1:2">
      <c r="A7" s="7" t="s">
        <v>493</v>
      </c>
      <c r="B7" s="11">
        <f>COUNTIFS(tbl_Demandas[sla_cumprido],"Sim")/COUNTIFS(tbl_Demandas[sla_cumprido],"&lt;&gt;")</f>
        <v>0.17499999999999999</v>
      </c>
    </row>
    <row r="8" spans="1:2">
      <c r="A8" s="7" t="s">
        <v>494</v>
      </c>
      <c r="B8" s="13">
        <f>AVERAGEIFS(tbl_Demandas[tempo_atendimento_dias],tbl_Demandas[tempo_atendimento_dias],"&gt;0")</f>
        <v>12.84</v>
      </c>
    </row>
    <row r="9" spans="1:2">
      <c r="A9" s="7" t="s">
        <v>495</v>
      </c>
      <c r="B9" s="10">
        <f>COUNTA(tbl_Pagamentos[pagamento_id])</f>
        <v>120</v>
      </c>
    </row>
    <row r="10" spans="1:2">
      <c r="A10" s="7" t="s">
        <v>496</v>
      </c>
      <c r="B10" s="12">
        <f>SUM(tbl_Pagamentos[valor_pago])</f>
        <v>3691398.8800000004</v>
      </c>
    </row>
    <row r="11" spans="1:2">
      <c r="A11" s="7" t="s">
        <v>497</v>
      </c>
      <c r="B11" s="10">
        <f>COUNTIFS(tbl_Pagamentos[status_pagamento],"Pendente")</f>
        <v>11</v>
      </c>
    </row>
    <row r="12" spans="1:2">
      <c r="A12" s="7" t="s">
        <v>498</v>
      </c>
      <c r="B12" s="10">
        <f>COUNTIFS(tbl_Contratos[status_contrato],"Vigente")</f>
        <v>13</v>
      </c>
    </row>
    <row r="13" spans="1:2">
      <c r="A13" s="7" t="s">
        <v>499</v>
      </c>
      <c r="B13" s="10">
        <f>COUNTIFS(tbl_Contratos[status_contrato],"Próximo do vencimento")</f>
        <v>1</v>
      </c>
    </row>
    <row r="14" spans="1:2">
      <c r="A14" s="4"/>
      <c r="B14" s="3"/>
    </row>
    <row r="15" spans="1:2">
      <c r="A15" s="4"/>
      <c r="B15" s="3"/>
    </row>
    <row r="25" spans="2:2" ht="14.4">
      <c r="B25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246B-3B76-430A-ADB8-0FC4E277CCA0}">
  <dimension ref="A1:K10"/>
  <sheetViews>
    <sheetView workbookViewId="0">
      <selection activeCell="I26" sqref="I26"/>
    </sheetView>
  </sheetViews>
  <sheetFormatPr defaultRowHeight="13.8"/>
  <cols>
    <col min="1" max="1" width="18.3984375" bestFit="1" customWidth="1"/>
    <col min="2" max="2" width="20.8984375" bestFit="1" customWidth="1"/>
    <col min="4" max="4" width="15.09765625" bestFit="1" customWidth="1"/>
    <col min="5" max="5" width="20.8984375" bestFit="1" customWidth="1"/>
    <col min="7" max="7" width="15.09765625" bestFit="1" customWidth="1"/>
    <col min="8" max="8" width="20.8984375" bestFit="1" customWidth="1"/>
    <col min="10" max="10" width="19.796875" bestFit="1" customWidth="1"/>
    <col min="11" max="11" width="22.296875" bestFit="1" customWidth="1"/>
  </cols>
  <sheetData>
    <row r="1" spans="1:11">
      <c r="A1" t="s">
        <v>503</v>
      </c>
      <c r="D1" t="s">
        <v>504</v>
      </c>
      <c r="G1" t="s">
        <v>505</v>
      </c>
      <c r="J1" t="s">
        <v>507</v>
      </c>
    </row>
    <row r="3" spans="1:11">
      <c r="A3" s="15" t="s">
        <v>500</v>
      </c>
      <c r="B3" t="s">
        <v>502</v>
      </c>
      <c r="D3" s="15" t="s">
        <v>500</v>
      </c>
      <c r="E3" t="s">
        <v>502</v>
      </c>
      <c r="G3" s="15" t="s">
        <v>500</v>
      </c>
      <c r="H3" t="s">
        <v>502</v>
      </c>
      <c r="J3" s="15" t="s">
        <v>500</v>
      </c>
      <c r="K3" t="s">
        <v>506</v>
      </c>
    </row>
    <row r="4" spans="1:11">
      <c r="A4" s="16" t="s">
        <v>21</v>
      </c>
      <c r="B4" s="1">
        <v>41</v>
      </c>
      <c r="D4" s="16" t="s">
        <v>38</v>
      </c>
      <c r="E4" s="1">
        <v>56</v>
      </c>
      <c r="G4" s="16" t="s">
        <v>19</v>
      </c>
      <c r="H4" s="1">
        <v>51</v>
      </c>
      <c r="J4" s="16" t="s">
        <v>386</v>
      </c>
      <c r="K4" s="1">
        <v>18</v>
      </c>
    </row>
    <row r="5" spans="1:11">
      <c r="A5" s="16" t="s">
        <v>50</v>
      </c>
      <c r="B5" s="1">
        <v>49</v>
      </c>
      <c r="D5" s="16" t="s">
        <v>29</v>
      </c>
      <c r="E5" s="1">
        <v>60</v>
      </c>
      <c r="G5" s="16" t="s">
        <v>49</v>
      </c>
      <c r="H5" s="1">
        <v>32</v>
      </c>
      <c r="J5" s="16" t="s">
        <v>367</v>
      </c>
      <c r="K5" s="1">
        <v>24</v>
      </c>
    </row>
    <row r="6" spans="1:11">
      <c r="A6" s="16" t="s">
        <v>30</v>
      </c>
      <c r="B6" s="1">
        <v>109</v>
      </c>
      <c r="D6" s="16" t="s">
        <v>41</v>
      </c>
      <c r="E6" s="1">
        <v>64</v>
      </c>
      <c r="G6" s="16" t="s">
        <v>44</v>
      </c>
      <c r="H6" s="1">
        <v>31</v>
      </c>
      <c r="J6" s="16" t="s">
        <v>360</v>
      </c>
      <c r="K6" s="1">
        <v>67</v>
      </c>
    </row>
    <row r="7" spans="1:11">
      <c r="A7" s="16" t="s">
        <v>53</v>
      </c>
      <c r="B7" s="1">
        <v>41</v>
      </c>
      <c r="D7" s="16" t="s">
        <v>20</v>
      </c>
      <c r="E7" s="1">
        <v>60</v>
      </c>
      <c r="G7" s="16" t="s">
        <v>60</v>
      </c>
      <c r="H7" s="1">
        <v>38</v>
      </c>
      <c r="J7" s="16" t="s">
        <v>405</v>
      </c>
      <c r="K7" s="1">
        <v>11</v>
      </c>
    </row>
    <row r="8" spans="1:11">
      <c r="A8" s="16" t="s">
        <v>501</v>
      </c>
      <c r="B8" s="1">
        <v>240</v>
      </c>
      <c r="D8" s="16" t="s">
        <v>501</v>
      </c>
      <c r="E8" s="1">
        <v>240</v>
      </c>
      <c r="G8" s="16" t="s">
        <v>28</v>
      </c>
      <c r="H8" s="1">
        <v>44</v>
      </c>
      <c r="J8" s="16" t="s">
        <v>501</v>
      </c>
      <c r="K8" s="1">
        <v>120</v>
      </c>
    </row>
    <row r="9" spans="1:11">
      <c r="G9" s="16" t="s">
        <v>37</v>
      </c>
      <c r="H9" s="1">
        <v>44</v>
      </c>
    </row>
    <row r="10" spans="1:11">
      <c r="G10" s="16" t="s">
        <v>501</v>
      </c>
      <c r="H10" s="1">
        <v>240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B6E-E677-426B-9BDA-F4B98FAD126F}">
  <dimension ref="A1:H7"/>
  <sheetViews>
    <sheetView showGridLines="0" tabSelected="1" zoomScale="70" zoomScaleNormal="70" workbookViewId="0">
      <selection activeCell="J18" sqref="J18"/>
    </sheetView>
  </sheetViews>
  <sheetFormatPr defaultRowHeight="13.8"/>
  <cols>
    <col min="1" max="1" width="22.3984375" customWidth="1"/>
    <col min="2" max="2" width="15.19921875" customWidth="1"/>
    <col min="3" max="3" width="20.19921875" bestFit="1" customWidth="1"/>
    <col min="5" max="5" width="15.69921875" bestFit="1" customWidth="1"/>
    <col min="7" max="7" width="22.09765625" style="19" bestFit="1" customWidth="1"/>
  </cols>
  <sheetData>
    <row r="1" spans="1:8" ht="39" customHeight="1">
      <c r="A1" s="28" t="s">
        <v>508</v>
      </c>
      <c r="B1" s="29"/>
      <c r="C1" s="29"/>
      <c r="D1" s="29"/>
      <c r="E1" s="29"/>
      <c r="F1" s="29"/>
      <c r="G1" s="29"/>
      <c r="H1" s="29"/>
    </row>
    <row r="2" spans="1:8" ht="25.05" customHeight="1">
      <c r="A2" s="26" t="s">
        <v>509</v>
      </c>
      <c r="B2" s="26"/>
      <c r="C2" s="26" t="s">
        <v>510</v>
      </c>
      <c r="D2" s="26"/>
      <c r="E2" s="26" t="s">
        <v>511</v>
      </c>
      <c r="F2" s="26"/>
      <c r="G2" s="27" t="s">
        <v>512</v>
      </c>
      <c r="H2" s="27"/>
    </row>
    <row r="3" spans="1:8" ht="25.05" customHeight="1">
      <c r="A3" s="24">
        <f>Indicadores!B2</f>
        <v>240</v>
      </c>
      <c r="B3" s="24"/>
      <c r="C3" s="24">
        <f>Indicadores!B3</f>
        <v>109</v>
      </c>
      <c r="D3" s="24"/>
      <c r="E3" s="21">
        <f>Indicadores!B7</f>
        <v>0.17499999999999999</v>
      </c>
      <c r="F3" s="21"/>
      <c r="G3" s="22">
        <f>Indicadores!B10</f>
        <v>3691398.8800000004</v>
      </c>
      <c r="H3" s="22"/>
    </row>
    <row r="4" spans="1:8" ht="25.05" customHeight="1">
      <c r="A4" s="26" t="s">
        <v>513</v>
      </c>
      <c r="B4" s="26"/>
      <c r="C4" s="26" t="s">
        <v>514</v>
      </c>
      <c r="D4" s="26"/>
      <c r="E4" s="26" t="s">
        <v>515</v>
      </c>
      <c r="F4" s="26"/>
      <c r="G4" s="27" t="s">
        <v>516</v>
      </c>
      <c r="H4" s="27"/>
    </row>
    <row r="5" spans="1:8" ht="25.05" customHeight="1">
      <c r="A5" s="25">
        <f>Indicadores!B5</f>
        <v>41</v>
      </c>
      <c r="B5" s="25"/>
      <c r="C5" s="25">
        <f>Indicadores!B11</f>
        <v>11</v>
      </c>
      <c r="D5" s="25"/>
      <c r="E5" s="20">
        <f>Indicadores!B12</f>
        <v>13</v>
      </c>
      <c r="F5" s="20"/>
      <c r="G5" s="23">
        <f>Indicadores!B8</f>
        <v>12.84</v>
      </c>
      <c r="H5" s="23"/>
    </row>
    <row r="6" spans="1:8">
      <c r="A6" s="17"/>
      <c r="B6" s="17"/>
      <c r="C6" s="17"/>
      <c r="D6" s="17"/>
      <c r="E6" s="17"/>
      <c r="F6" s="17"/>
      <c r="G6" s="18"/>
    </row>
    <row r="7" spans="1:8">
      <c r="A7" s="17"/>
      <c r="B7" s="17"/>
      <c r="C7" s="17"/>
      <c r="D7" s="17"/>
      <c r="E7" s="17"/>
      <c r="F7" s="17"/>
      <c r="G7" s="18"/>
    </row>
  </sheetData>
  <mergeCells count="17">
    <mergeCell ref="G2:H2"/>
    <mergeCell ref="G3:H3"/>
    <mergeCell ref="G4:H4"/>
    <mergeCell ref="G5:H5"/>
    <mergeCell ref="A1:H1"/>
    <mergeCell ref="E5:F5"/>
    <mergeCell ref="E4:F4"/>
    <mergeCell ref="E3:F3"/>
    <mergeCell ref="C2:D2"/>
    <mergeCell ref="E2:F2"/>
    <mergeCell ref="A2:B2"/>
    <mergeCell ref="A3:B3"/>
    <mergeCell ref="A4:B4"/>
    <mergeCell ref="A5:B5"/>
    <mergeCell ref="C3:D3"/>
    <mergeCell ref="C4:D4"/>
    <mergeCell ref="C5:D5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B6127-F14B-4011-8969-1BF151E11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Base_Demandas</vt:lpstr>
      <vt:lpstr>Base_Contratos</vt:lpstr>
      <vt:lpstr>Base_Fornecedores</vt:lpstr>
      <vt:lpstr>Base_Pagamentos</vt:lpstr>
      <vt:lpstr>Indicadores</vt:lpstr>
      <vt:lpstr>Tabelas_Dinamicas</vt:lpstr>
      <vt:lpstr>Dashboard_Excel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Ramos Lopes</dc:creator>
  <cp:lastModifiedBy>Bruno Ramos Lopes</cp:lastModifiedBy>
  <dcterms:created xsi:type="dcterms:W3CDTF">2026-07-14T17:41:41Z</dcterms:created>
  <dcterms:modified xsi:type="dcterms:W3CDTF">2026-07-15T14:10:04Z</dcterms:modified>
</cp:coreProperties>
</file>